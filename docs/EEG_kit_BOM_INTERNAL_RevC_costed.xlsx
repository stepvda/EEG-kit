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umptions" sheetId="1" state="visible" r:id="rId1"/>
    <sheet name="BOM" sheetId="2" state="visible" r:id="rId2"/>
    <sheet name="Kit summary" sheetId="3" state="visible" r:id="rId3"/>
  </sheets>
  <definedNames/>
  <calcPr calcId="124519" fullCalcOnLoad="1"/>
</workbook>
</file>

<file path=xl/styles.xml><?xml version="1.0" encoding="utf-8"?>
<styleSheet xmlns="http://schemas.openxmlformats.org/spreadsheetml/2006/main">
  <numFmts count="1">
    <numFmt numFmtId="164" formatCode="0&quot;%&quot;"/>
  </numFmts>
  <fonts count="5">
    <font>
      <name val="Calibri"/>
      <family val="2"/>
      <color theme="1"/>
      <sz val="11"/>
      <scheme val="minor"/>
    </font>
    <font>
      <b val="1"/>
      <color rgb="001F3864"/>
      <sz val="13"/>
    </font>
    <font>
      <i val="1"/>
      <color rgb="00444444"/>
      <sz val="9"/>
    </font>
    <font>
      <b val="1"/>
      <color rgb="00FFFFFF"/>
      <sz val="10"/>
    </font>
    <font>
      <b val="1"/>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xf>
    <xf numFmtId="0" fontId="3" fillId="2" borderId="0" applyAlignment="1" pivotButton="0" quotePrefix="0" xfId="0">
      <alignment vertical="top" wrapText="1"/>
    </xf>
    <xf numFmtId="0" fontId="0" fillId="3" borderId="0" applyAlignment="1" pivotButton="0" quotePrefix="0" xfId="0">
      <alignment vertical="top"/>
    </xf>
    <xf numFmtId="0" fontId="4" fillId="0" borderId="0" applyAlignment="1" pivotButton="0" quotePrefix="0" xfId="0">
      <alignment vertical="top"/>
    </xf>
    <xf numFmtId="0" fontId="2" fillId="0" borderId="0" applyAlignment="1" pivotButton="0" quotePrefix="0" xfId="0">
      <alignment vertical="top"/>
    </xf>
    <xf numFmtId="0" fontId="3" fillId="2" borderId="0"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4" fontId="0" fillId="3" borderId="1" applyAlignment="1" pivotButton="0" quotePrefix="0" xfId="0">
      <alignment vertical="top"/>
    </xf>
    <xf numFmtId="4" fontId="0" fillId="0" borderId="1" applyAlignment="1" pivotButton="0" quotePrefix="0" xfId="0">
      <alignment vertical="top"/>
    </xf>
    <xf numFmtId="0" fontId="4" fillId="4" borderId="0" pivotButton="0" quotePrefix="0" xfId="0"/>
    <xf numFmtId="4" fontId="4" fillId="4" borderId="0" pivotButton="0" quotePrefix="0" xfId="0"/>
    <xf numFmtId="0" fontId="1" fillId="0" borderId="0" pivotButton="0" quotePrefix="0" xfId="0"/>
    <xf numFmtId="0" fontId="2" fillId="0" borderId="0" pivotButton="0" quotePrefix="0" xfId="0"/>
    <xf numFmtId="4" fontId="0" fillId="0" borderId="0" pivotButton="0" quotePrefix="0" xfId="0"/>
    <xf numFmtId="0" fontId="4" fillId="0" borderId="0" pivotButton="0" quotePrefix="0" xfId="0"/>
    <xf numFmtId="0" fontId="0" fillId="3"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pane ySplit="6" topLeftCell="A7" activePane="bottomLeft" state="frozen"/>
      <selection pane="bottomLeft" activeCell="A1" sqref="A1"/>
    </sheetView>
  </sheetViews>
  <sheetFormatPr baseColWidth="8" defaultRowHeight="15"/>
  <cols>
    <col width="44" customWidth="1" min="1" max="1"/>
    <col width="12" customWidth="1" min="2" max="2"/>
    <col width="96" customWidth="1" min="3" max="3"/>
  </cols>
  <sheetData>
    <row r="1">
      <c r="A1" s="1" t="inlineStr">
        <is>
          <t>EEG field kit -- internal bill of materials, indicative costing</t>
        </is>
      </c>
      <c r="B1" s="2" t="n"/>
      <c r="C1" s="3" t="n"/>
    </row>
    <row r="2">
      <c r="A2" s="2" t="inlineStr">
        <is>
          <t>Rev C, 1 September 2026.  Companion to RFQ-EEG-001 Rev E and DSN-EEG-003 Rev D.</t>
        </is>
      </c>
      <c r="B2" s="2" t="n"/>
      <c r="C2" s="3" t="n"/>
    </row>
    <row r="3">
      <c r="A3" s="4" t="inlineStr">
        <is>
          <t>THIS IS THE PROGRAMME'S OWN COPY AND IT CARRIES PRICES.  The bidders' workbook (EEG_kit_BOM_for_bidders_RevC.xlsx) is the same part list with the prices removed and empty cells for the bidder.  Do not send this file to a bidder.</t>
        </is>
      </c>
      <c r="B3" s="3" t="n"/>
      <c r="C3" s="3" t="n"/>
    </row>
    <row r="4">
      <c r="A4" s="4" t="inlineStr">
        <is>
          <t>All unit prices are indicative single-source estimates in EUR, ex VAT and ex shipping, and are placeholders for the manufacturer's quotation. Every line records the basis it was estimated from, in the BOM sheet's last column. Yellow cells are inputs; edit those and everything recalculates.</t>
        </is>
      </c>
      <c r="B4" s="3" t="n"/>
      <c r="C4" s="3" t="n"/>
    </row>
    <row r="5">
      <c r="A5" s="2" t="n"/>
      <c r="B5" s="2" t="n"/>
      <c r="C5" s="3" t="n"/>
    </row>
    <row r="6">
      <c r="A6" s="5" t="inlineStr">
        <is>
          <t>Assumption</t>
        </is>
      </c>
      <c r="B6" s="5" t="inlineStr">
        <is>
          <t>Value</t>
        </is>
      </c>
      <c r="C6" s="6" t="inlineStr">
        <is>
          <t>Note</t>
        </is>
      </c>
    </row>
    <row r="7">
      <c r="A7" s="2" t="n"/>
      <c r="B7" s="2" t="n"/>
      <c r="C7" s="3" t="n"/>
    </row>
    <row r="8">
      <c r="A8" s="2" t="inlineStr">
        <is>
          <t>Fleet quantity scenarios (units)</t>
        </is>
      </c>
      <c r="B8" s="2" t="n"/>
      <c r="C8" s="3" t="inlineStr">
        <is>
          <t>Quantity breaks the BOM is priced at; RFQ-EEG-001 Rev E section 10 asks bidders for these four.</t>
        </is>
      </c>
    </row>
    <row r="9">
      <c r="A9" s="2" t="inlineStr">
        <is>
          <t>Scenario A -- prototypes</t>
        </is>
      </c>
      <c r="B9" s="7" t="n">
        <v>2</v>
      </c>
      <c r="C9" s="3" t="n"/>
    </row>
    <row r="10">
      <c r="A10" s="2" t="inlineStr">
        <is>
          <t>Scenario B -- pilot fleet</t>
        </is>
      </c>
      <c r="B10" s="7" t="n">
        <v>10</v>
      </c>
      <c r="C10" s="3" t="n"/>
    </row>
    <row r="11">
      <c r="A11" s="2" t="inlineStr">
        <is>
          <t>Scenario C -- fleet, lower bound</t>
        </is>
      </c>
      <c r="B11" s="7" t="n">
        <v>25</v>
      </c>
      <c r="C11" s="3" t="n"/>
    </row>
    <row r="12">
      <c r="A12" s="2" t="inlineStr">
        <is>
          <t>Scenario D -- fleet, upper bound</t>
        </is>
      </c>
      <c r="B12" s="7" t="n">
        <v>50</v>
      </c>
      <c r="C12" s="3" t="n"/>
    </row>
    <row r="13">
      <c r="A13" s="2" t="inlineStr">
        <is>
          <t>Spare assembled boards (share of fleet)</t>
        </is>
      </c>
      <c r="B13" s="7" t="n">
        <v>0.25</v>
      </c>
      <c r="C13" s="3" t="inlineStr">
        <is>
          <t>Build 25 % spares of hand-assembled units. Survives in RFQ-EEG-001 Rev E, Phase 3.</t>
        </is>
      </c>
    </row>
    <row r="14">
      <c r="A14" s="2" t="inlineStr">
        <is>
          <t>EUR per USD</t>
        </is>
      </c>
      <c r="B14" s="7" t="n">
        <v>0.92</v>
      </c>
      <c r="C14" s="3" t="inlineStr">
        <is>
          <t>Used only where a supplier quotes in USD. Update on the day of the quote.</t>
        </is>
      </c>
    </row>
    <row r="15">
      <c r="A15" s="2" t="inlineStr">
        <is>
          <t>Layout review NRE placeholder (EUR)</t>
        </is>
      </c>
      <c r="B15" s="7" t="n">
        <v>1500</v>
      </c>
      <c r="C15" s="3" t="inlineStr">
        <is>
          <t>RFQ-EEG-002A is a REVIEW of supplied routing, not a layout job. v1 budgeted EUR 1500 for the layout itself; the review is the cheaper half of that range, but the figure is held until the quote.</t>
        </is>
      </c>
    </row>
    <row r="16">
      <c r="A16" s="2" t="inlineStr">
        <is>
          <t>Foam insert tooling placeholder (EUR)</t>
        </is>
      </c>
      <c r="B16" s="7" t="n">
        <v>250</v>
      </c>
      <c r="C16" s="3" t="inlineStr">
        <is>
          <t>One-off die or laser programme. HELD AT v1'S FIGURE AND KNOWN TO BE LOW: the CASE-00 Rev C stack is SEVEN layers, not one or two, and the layers do not share a profile -- the bays cut through different layer counts, and layer 1 of the helmet bay is 8 mm smaller all round for the halo shelf -- so this is several distinct programmes, not one. The figure is not re-estimated here because the Rev C cut file has not been drawn (PKG-EEG-015 open item 1).</t>
        </is>
      </c>
    </row>
    <row r="17">
      <c r="A17" s="2" t="inlineStr">
        <is>
          <t>Stencil, fixtures and test jig placeholder (EUR)</t>
        </is>
      </c>
      <c r="B17" s="7" t="n">
        <v>400</v>
      </c>
      <c r="C17" s="3" t="inlineStr">
        <is>
          <t>JIG-EEG-009 Rev C specifies more fixtures than v1 assumed. Held at v1's figure until JIG-EEG-009 section 6.1 is quoted.</t>
        </is>
      </c>
    </row>
    <row r="18">
      <c r="A18" s="2" t="n"/>
      <c r="B18" s="2" t="n"/>
      <c r="C18" s="3" t="n"/>
    </row>
    <row r="19">
      <c r="A19" s="8" t="inlineStr">
        <is>
          <t>Legend</t>
        </is>
      </c>
      <c r="B19" s="2" t="n"/>
      <c r="C19" s="3" t="n"/>
    </row>
    <row r="20">
      <c r="A20" s="9" t="inlineStr">
        <is>
          <t>Yellow fill = input you can edit.  Plain = formula.  Prices are per unit at the stated quantity break; the manufacturer's quote replaces them.</t>
        </is>
      </c>
      <c r="B20" s="2" t="n"/>
      <c r="C20" s="3" t="n"/>
    </row>
    <row r="21">
      <c r="A21" s="2" t="n"/>
      <c r="B21" s="2" t="n"/>
      <c r="C21" s="3" t="n"/>
    </row>
    <row r="22">
      <c r="A22" s="9" t="inlineStr">
        <is>
          <t>Nothing in this package has been manufactured or measured, and no price here has been quoted by a supplier. Every figure is an estimate.</t>
        </is>
      </c>
      <c r="B22" s="2" t="n"/>
      <c r="C22"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3"/>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54" customWidth="1" min="3" max="3"/>
    <col width="34" customWidth="1" min="4" max="4"/>
    <col width="9"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3" customWidth="1" min="14" max="14"/>
    <col width="70" customWidth="1" min="15" max="15"/>
  </cols>
  <sheetData>
    <row r="1">
      <c r="A1" s="10" t="inlineStr">
        <is>
          <t>Item</t>
        </is>
      </c>
      <c r="B1" s="10" t="inlineStr">
        <is>
          <t>Group</t>
        </is>
      </c>
      <c r="C1" s="10" t="inlineStr">
        <is>
          <t>Description</t>
        </is>
      </c>
      <c r="D1" s="10" t="inlineStr">
        <is>
          <t>Reference part / module</t>
        </is>
      </c>
      <c r="E1" s="10" t="inlineStr">
        <is>
          <t>Qty per kit</t>
        </is>
      </c>
      <c r="F1" s="10" t="inlineStr">
        <is>
          <t>Unit EUR @2</t>
        </is>
      </c>
      <c r="G1" s="10" t="inlineStr">
        <is>
          <t>Unit EUR @10</t>
        </is>
      </c>
      <c r="H1" s="10" t="inlineStr">
        <is>
          <t>Unit EUR @25</t>
        </is>
      </c>
      <c r="I1" s="10" t="inlineStr">
        <is>
          <t>Unit EUR @50</t>
        </is>
      </c>
      <c r="J1" s="10" t="inlineStr">
        <is>
          <t>Per-kit EUR @2</t>
        </is>
      </c>
      <c r="K1" s="10" t="inlineStr">
        <is>
          <t>Per-kit EUR @10</t>
        </is>
      </c>
      <c r="L1" s="10" t="inlineStr">
        <is>
          <t>Per-kit EUR @25</t>
        </is>
      </c>
      <c r="M1" s="10" t="inlineStr">
        <is>
          <t>Per-kit EUR @50</t>
        </is>
      </c>
      <c r="N1" s="10" t="inlineStr">
        <is>
          <t>Substitutable</t>
        </is>
      </c>
      <c r="O1" s="10" t="inlineStr">
        <is>
          <t>Price basis</t>
        </is>
      </c>
    </row>
    <row r="2"/>
    <row r="3">
      <c r="A3" s="11" t="n">
        <v>1</v>
      </c>
      <c r="B3" s="11" t="inlineStr">
        <is>
          <t>Modules</t>
        </is>
      </c>
      <c r="C3" s="12" t="inlineStr">
        <is>
          <t>ADS1299 8-channel breakout with SPI header and on-board regulators; DAISY_IN and CLKOUT accessible</t>
        </is>
      </c>
      <c r="D3" s="12" t="inlineStr">
        <is>
          <t>PIEEG-8 module</t>
        </is>
      </c>
      <c r="E3" s="11" t="n">
        <v>2</v>
      </c>
      <c r="F3" s="13" t="n">
        <v>95</v>
      </c>
      <c r="G3" s="13" t="n">
        <v>82</v>
      </c>
      <c r="H3" s="13" t="n">
        <v>74</v>
      </c>
      <c r="I3" s="13" t="n">
        <v>68</v>
      </c>
      <c r="J3" s="14">
        <f>$E3*F3</f>
        <v/>
      </c>
      <c r="K3" s="14">
        <f>$E3*G3</f>
        <v/>
      </c>
      <c r="L3" s="14">
        <f>$E3*H3</f>
        <v/>
      </c>
      <c r="M3" s="14">
        <f>$E3*I3</f>
        <v/>
      </c>
      <c r="N3" s="11" t="inlineStr">
        <is>
          <t>No (module class fixed)</t>
        </is>
      </c>
      <c r="O3" s="12" t="inlineStr">
        <is>
          <t>v1 line 3 was the bare ADS1299 at 55/48/45/42; a breakout adds its own PCB, regulators, crystal and headers. Two per kit.</t>
        </is>
      </c>
    </row>
    <row r="4">
      <c r="A4" s="11" t="n">
        <v>2</v>
      </c>
      <c r="B4" s="11" t="inlineStr">
        <is>
          <t>Modules</t>
        </is>
      </c>
      <c r="C4" s="12" t="inlineStr">
        <is>
          <t>ESP32-S3 development board, 16 MB flash, 8 MB octal PSRAM</t>
        </is>
      </c>
      <c r="D4" s="12" t="inlineStr">
        <is>
          <t>Espressif ESP32-S3-DevKitC-1-N16R8</t>
        </is>
      </c>
      <c r="E4" s="11" t="n">
        <v>1</v>
      </c>
      <c r="F4" s="13" t="n">
        <v>16</v>
      </c>
      <c r="G4" s="13" t="n">
        <v>14</v>
      </c>
      <c r="H4" s="13" t="n">
        <v>12.5</v>
      </c>
      <c r="I4" s="13" t="n">
        <v>11.5</v>
      </c>
      <c r="J4" s="14">
        <f>$E4*F4</f>
        <v/>
      </c>
      <c r="K4" s="14">
        <f>$E4*G4</f>
        <v/>
      </c>
      <c r="L4" s="14">
        <f>$E4*H4</f>
        <v/>
      </c>
      <c r="M4" s="14">
        <f>$E4*I4</f>
        <v/>
      </c>
      <c r="N4" s="11" t="inlineStr">
        <is>
          <t>No</t>
        </is>
      </c>
      <c r="O4" s="12" t="inlineStr">
        <is>
          <t>DevKitC-1-N16R8, not the bare WROOM of v1 line 15 (4.20 at the 2 break). The kit uses the DevKit's own USB and UART.</t>
        </is>
      </c>
    </row>
    <row r="5">
      <c r="A5" s="11" t="n">
        <v>3</v>
      </c>
      <c r="B5" s="11" t="inlineStr">
        <is>
          <t>Modules</t>
        </is>
      </c>
      <c r="C5" s="12" t="inlineStr">
        <is>
          <t>Audio codec module with headphone amplifier, I2S</t>
        </is>
      </c>
      <c r="D5" s="12" t="inlineStr">
        <is>
          <t>ES8388 breakout</t>
        </is>
      </c>
      <c r="E5" s="11" t="n">
        <v>1</v>
      </c>
      <c r="F5" s="13" t="n">
        <v>9</v>
      </c>
      <c r="G5" s="13" t="n">
        <v>7.5</v>
      </c>
      <c r="H5" s="13" t="n">
        <v>6.5</v>
      </c>
      <c r="I5" s="13" t="n">
        <v>6</v>
      </c>
      <c r="J5" s="14">
        <f>$E5*F5</f>
        <v/>
      </c>
      <c r="K5" s="14">
        <f>$E5*G5</f>
        <v/>
      </c>
      <c r="L5" s="14">
        <f>$E5*H5</f>
        <v/>
      </c>
      <c r="M5" s="14">
        <f>$E5*I5</f>
        <v/>
      </c>
      <c r="N5" s="11" t="inlineStr">
        <is>
          <t>Yes</t>
        </is>
      </c>
      <c r="O5" s="12" t="inlineStr">
        <is>
          <t>ES8388 breakout. v1 line 11 was the bare codec at 1.60.</t>
        </is>
      </c>
    </row>
    <row r="6">
      <c r="A6" s="11" t="n">
        <v>4</v>
      </c>
      <c r="B6" s="11" t="inlineStr">
        <is>
          <t>Modules</t>
        </is>
      </c>
      <c r="C6" s="12" t="inlineStr">
        <is>
          <t>USB 2.0 full-speed isolator module, &gt;= 2.5 kV RMS</t>
        </is>
      </c>
      <c r="D6" s="12" t="inlineStr">
        <is>
          <t>ADuM4160 isolator module</t>
        </is>
      </c>
      <c r="E6" s="11" t="n">
        <v>1</v>
      </c>
      <c r="F6" s="13" t="n">
        <v>22</v>
      </c>
      <c r="G6" s="13" t="n">
        <v>18</v>
      </c>
      <c r="H6" s="13" t="n">
        <v>16</v>
      </c>
      <c r="I6" s="13" t="n">
        <v>15</v>
      </c>
      <c r="J6" s="14">
        <f>$E6*F6</f>
        <v/>
      </c>
      <c r="K6" s="14">
        <f>$E6*G6</f>
        <v/>
      </c>
      <c r="L6" s="14">
        <f>$E6*H6</f>
        <v/>
      </c>
      <c r="M6" s="14">
        <f>$E6*I6</f>
        <v/>
      </c>
      <c r="N6" s="11" t="inlineStr">
        <is>
          <t>No</t>
        </is>
      </c>
      <c r="O6" s="12" t="inlineStr">
        <is>
          <t>v1 lines 19+20 (ADuM4160 9.50 + isolated DC-DC 3.50) on a carrier board. E-24 requires the isolator from Rev A.</t>
        </is>
      </c>
    </row>
    <row r="7">
      <c r="A7" s="11" t="n">
        <v>5</v>
      </c>
      <c r="B7" s="11" t="inlineStr">
        <is>
          <t>Modules</t>
        </is>
      </c>
      <c r="C7" s="12" t="inlineStr">
        <is>
          <t>Secure element breakout, I2C</t>
        </is>
      </c>
      <c r="D7" s="12" t="inlineStr">
        <is>
          <t>Adafruit ATECC608 breakout (4314)</t>
        </is>
      </c>
      <c r="E7" s="11" t="n">
        <v>1</v>
      </c>
      <c r="F7" s="13" t="n">
        <v>7</v>
      </c>
      <c r="G7" s="13" t="n">
        <v>6</v>
      </c>
      <c r="H7" s="13" t="n">
        <v>5.5</v>
      </c>
      <c r="I7" s="13" t="n">
        <v>5</v>
      </c>
      <c r="J7" s="14">
        <f>$E7*F7</f>
        <v/>
      </c>
      <c r="K7" s="14">
        <f>$E7*G7</f>
        <v/>
      </c>
      <c r="L7" s="14">
        <f>$E7*H7</f>
        <v/>
      </c>
      <c r="M7" s="14">
        <f>$E7*I7</f>
        <v/>
      </c>
      <c r="N7" s="11" t="inlineStr">
        <is>
          <t>No</t>
        </is>
      </c>
      <c r="O7" s="12" t="inlineStr">
        <is>
          <t>Adafruit ATECC608 breakout 4314. v1 line 16 was the bare part.</t>
        </is>
      </c>
    </row>
    <row r="8">
      <c r="A8" s="11" t="n">
        <v>6</v>
      </c>
      <c r="B8" s="11" t="inlineStr">
        <is>
          <t>Modules</t>
        </is>
      </c>
      <c r="C8" s="12" t="inlineStr">
        <is>
          <t>Li-ion charger with power path and CE pin</t>
        </is>
      </c>
      <c r="D8" s="12" t="inlineStr">
        <is>
          <t>Adafruit bq24074 (4755)</t>
        </is>
      </c>
      <c r="E8" s="11" t="n">
        <v>1</v>
      </c>
      <c r="F8" s="13" t="n">
        <v>16</v>
      </c>
      <c r="G8" s="13" t="n">
        <v>14</v>
      </c>
      <c r="H8" s="13" t="n">
        <v>12.5</v>
      </c>
      <c r="I8" s="13" t="n">
        <v>11.5</v>
      </c>
      <c r="J8" s="14">
        <f>$E8*F8</f>
        <v/>
      </c>
      <c r="K8" s="14">
        <f>$E8*G8</f>
        <v/>
      </c>
      <c r="L8" s="14">
        <f>$E8*H8</f>
        <v/>
      </c>
      <c r="M8" s="14">
        <f>$E8*I8</f>
        <v/>
      </c>
      <c r="N8" s="11" t="inlineStr">
        <is>
          <t>Yes</t>
        </is>
      </c>
      <c r="O8" s="12" t="inlineStr">
        <is>
          <t>Adafruit bq24074 4755. v1 line 26 was the bare BQ24075.</t>
        </is>
      </c>
    </row>
    <row r="9">
      <c r="A9" s="11" t="n">
        <v>7</v>
      </c>
      <c r="B9" s="11" t="inlineStr">
        <is>
          <t>Modules</t>
        </is>
      </c>
      <c r="C9" s="12" t="inlineStr">
        <is>
          <t>Battery fuel gauge, I2C</t>
        </is>
      </c>
      <c r="D9" s="12" t="inlineStr">
        <is>
          <t>Adafruit MAX17048 (5580)</t>
        </is>
      </c>
      <c r="E9" s="11" t="n">
        <v>1</v>
      </c>
      <c r="F9" s="13" t="n">
        <v>11</v>
      </c>
      <c r="G9" s="13" t="n">
        <v>9.5</v>
      </c>
      <c r="H9" s="13" t="n">
        <v>8.5</v>
      </c>
      <c r="I9" s="13" t="n">
        <v>8</v>
      </c>
      <c r="J9" s="14">
        <f>$E9*F9</f>
        <v/>
      </c>
      <c r="K9" s="14">
        <f>$E9*G9</f>
        <v/>
      </c>
      <c r="L9" s="14">
        <f>$E9*H9</f>
        <v/>
      </c>
      <c r="M9" s="14">
        <f>$E9*I9</f>
        <v/>
      </c>
      <c r="N9" s="11" t="inlineStr">
        <is>
          <t>Yes</t>
        </is>
      </c>
      <c r="O9" s="12" t="inlineStr">
        <is>
          <t>Adafruit MAX17048 5580. v1 line 27 was the bare gauge.</t>
        </is>
      </c>
    </row>
    <row r="10">
      <c r="A10" s="11" t="n">
        <v>8</v>
      </c>
      <c r="B10" s="11" t="inlineStr">
        <is>
          <t>Modules</t>
        </is>
      </c>
      <c r="C10" s="12" t="inlineStr">
        <is>
          <t>Buck-boost regulator module, VSYS to 5.00 V at 1 A</t>
        </is>
      </c>
      <c r="D10" s="12" t="inlineStr">
        <is>
          <t>TPS63020 breakout</t>
        </is>
      </c>
      <c r="E10" s="11" t="n">
        <v>1</v>
      </c>
      <c r="F10" s="13" t="n">
        <v>13</v>
      </c>
      <c r="G10" s="13" t="n">
        <v>11</v>
      </c>
      <c r="H10" s="13" t="n">
        <v>9.5</v>
      </c>
      <c r="I10" s="13" t="n">
        <v>8.5</v>
      </c>
      <c r="J10" s="14">
        <f>$E10*F10</f>
        <v/>
      </c>
      <c r="K10" s="14">
        <f>$E10*G10</f>
        <v/>
      </c>
      <c r="L10" s="14">
        <f>$E10*H10</f>
        <v/>
      </c>
      <c r="M10" s="14">
        <f>$E10*I10</f>
        <v/>
      </c>
      <c r="N10" s="11" t="inlineStr">
        <is>
          <t>Yes</t>
        </is>
      </c>
      <c r="O10" s="12" t="inlineStr">
        <is>
          <t>TPS63020 breakout. NEW IN v2: package v1 had no source for the 3.3 V rail at all (ECO-EEG-016, blocking finding).</t>
        </is>
      </c>
    </row>
    <row r="11">
      <c r="A11" s="11" t="n">
        <v>9</v>
      </c>
      <c r="B11" s="11" t="inlineStr">
        <is>
          <t>Modules</t>
        </is>
      </c>
      <c r="C11" s="12" t="inlineStr">
        <is>
          <t>microSD breakout, SDMMC</t>
        </is>
      </c>
      <c r="D11" s="12" t="inlineStr">
        <is>
          <t>generic microSD SDMMC breakout</t>
        </is>
      </c>
      <c r="E11" s="11" t="n">
        <v>1</v>
      </c>
      <c r="F11" s="13" t="n">
        <v>4</v>
      </c>
      <c r="G11" s="13" t="n">
        <v>3</v>
      </c>
      <c r="H11" s="13" t="n">
        <v>2.6</v>
      </c>
      <c r="I11" s="13" t="n">
        <v>2.3</v>
      </c>
      <c r="J11" s="14">
        <f>$E11*F11</f>
        <v/>
      </c>
      <c r="K11" s="14">
        <f>$E11*G11</f>
        <v/>
      </c>
      <c r="L11" s="14">
        <f>$E11*H11</f>
        <v/>
      </c>
      <c r="M11" s="14">
        <f>$E11*I11</f>
        <v/>
      </c>
      <c r="N11" s="11" t="inlineStr">
        <is>
          <t>Yes</t>
        </is>
      </c>
      <c r="O11" s="12" t="inlineStr">
        <is>
          <t>microSD SDMMC breakout. v1 line 17 was the bare socket.</t>
        </is>
      </c>
    </row>
    <row r="12">
      <c r="A12" s="11" t="n">
        <v>10</v>
      </c>
      <c r="B12" s="11" t="inlineStr">
        <is>
          <t>Modules</t>
        </is>
      </c>
      <c r="C12" s="12" t="inlineStr">
        <is>
          <t>Electret microphone preamplifier module, fixed gain</t>
        </is>
      </c>
      <c r="D12" s="12" t="inlineStr">
        <is>
          <t>MAX4466 class (Adafruit 1063)</t>
        </is>
      </c>
      <c r="E12" s="11" t="n">
        <v>1</v>
      </c>
      <c r="F12" s="13" t="n">
        <v>8</v>
      </c>
      <c r="G12" s="13" t="n">
        <v>6.5</v>
      </c>
      <c r="H12" s="13" t="n">
        <v>5.8</v>
      </c>
      <c r="I12" s="13" t="n">
        <v>5.2</v>
      </c>
      <c r="J12" s="14">
        <f>$E12*F12</f>
        <v/>
      </c>
      <c r="K12" s="14">
        <f>$E12*G12</f>
        <v/>
      </c>
      <c r="L12" s="14">
        <f>$E12*H12</f>
        <v/>
      </c>
      <c r="M12" s="14">
        <f>$E12*I12</f>
        <v/>
      </c>
      <c r="N12" s="11" t="inlineStr">
        <is>
          <t>Yes</t>
        </is>
      </c>
      <c r="O12" s="12" t="inlineStr">
        <is>
          <t>MAX4466-class preamp module, Adafruit 1063 class.</t>
        </is>
      </c>
    </row>
    <row r="13">
      <c r="A13" s="11" t="n">
        <v>11</v>
      </c>
      <c r="B13" s="11" t="inlineStr">
        <is>
          <t>Modules</t>
        </is>
      </c>
      <c r="C13" s="12" t="inlineStr">
        <is>
          <t>Room microphone module with hardware mute</t>
        </is>
      </c>
      <c r="D13" s="12" t="inlineStr">
        <is>
          <t>to be selected</t>
        </is>
      </c>
      <c r="E13" s="11" t="n">
        <v>1</v>
      </c>
      <c r="F13" s="13" t="n">
        <v>9</v>
      </c>
      <c r="G13" s="13" t="n">
        <v>7.5</v>
      </c>
      <c r="H13" s="13" t="n">
        <v>6.5</v>
      </c>
      <c r="I13" s="13" t="n">
        <v>6</v>
      </c>
      <c r="J13" s="14">
        <f>$E13*F13</f>
        <v/>
      </c>
      <c r="K13" s="14">
        <f>$E13*G13</f>
        <v/>
      </c>
      <c r="L13" s="14">
        <f>$E13*H13</f>
        <v/>
      </c>
      <c r="M13" s="14">
        <f>$E13*I13</f>
        <v/>
      </c>
      <c r="N13" s="11" t="inlineStr">
        <is>
          <t>Yes</t>
        </is>
      </c>
      <c r="O13" s="12" t="inlineStr">
        <is>
          <t>OPEN LINE: the room-microphone module is not selected (kit BOM note, AVL-EEG-017). Priced as a MAX4466-class board plus capsule; the figure moves when the part is chosen.</t>
        </is>
      </c>
    </row>
    <row r="14">
      <c r="A14" s="11" t="n">
        <v>12</v>
      </c>
      <c r="B14" s="11" t="inlineStr">
        <is>
          <t>Modules</t>
        </is>
      </c>
      <c r="C14" s="12" t="inlineStr">
        <is>
          <t>8-bit shift register module</t>
        </is>
      </c>
      <c r="D14" s="12" t="inlineStr">
        <is>
          <t>74HC595 breakout</t>
        </is>
      </c>
      <c r="E14" s="11" t="n">
        <v>1</v>
      </c>
      <c r="F14" s="13" t="n">
        <v>4.5</v>
      </c>
      <c r="G14" s="13" t="n">
        <v>3.5</v>
      </c>
      <c r="H14" s="13" t="n">
        <v>3</v>
      </c>
      <c r="I14" s="13" t="n">
        <v>2.6</v>
      </c>
      <c r="J14" s="14">
        <f>$E14*F14</f>
        <v/>
      </c>
      <c r="K14" s="14">
        <f>$E14*G14</f>
        <v/>
      </c>
      <c r="L14" s="14">
        <f>$E14*H14</f>
        <v/>
      </c>
      <c r="M14" s="14">
        <f>$E14*I14</f>
        <v/>
      </c>
      <c r="N14" s="11" t="inlineStr">
        <is>
          <t>Yes</t>
        </is>
      </c>
      <c r="O14" s="12" t="inlineStr">
        <is>
          <t>74HC595 breakout. NEW IN v2: in v1 the eight contact-light lines had nothing driving them (ECO-EEG-016).</t>
        </is>
      </c>
    </row>
    <row r="15">
      <c r="A15" s="11" t="n">
        <v>13</v>
      </c>
      <c r="B15" s="11" t="inlineStr">
        <is>
          <t>Modules</t>
        </is>
      </c>
      <c r="C15" s="12" t="inlineStr">
        <is>
          <t>Protected 18650 Li-ion cell &gt;= 3000 mAh, UN 38.3</t>
        </is>
      </c>
      <c r="D15" s="12" t="inlineStr">
        <is>
          <t>Panasonic NCR18650B protected</t>
        </is>
      </c>
      <c r="E15" s="11" t="n">
        <v>1</v>
      </c>
      <c r="F15" s="13" t="n">
        <v>8</v>
      </c>
      <c r="G15" s="13" t="n">
        <v>7</v>
      </c>
      <c r="H15" s="13" t="n">
        <v>6.5</v>
      </c>
      <c r="I15" s="13" t="n">
        <v>6</v>
      </c>
      <c r="J15" s="14">
        <f>$E15*F15</f>
        <v/>
      </c>
      <c r="K15" s="14">
        <f>$E15*G15</f>
        <v/>
      </c>
      <c r="L15" s="14">
        <f>$E15*H15</f>
        <v/>
      </c>
      <c r="M15" s="14">
        <f>$E15*I15</f>
        <v/>
      </c>
      <c r="N15" s="11" t="inlineStr">
        <is>
          <t>Yes</t>
        </is>
      </c>
      <c r="O15" s="12" t="inlineStr">
        <is>
          <t>v1 line 24, unchanged.</t>
        </is>
      </c>
    </row>
    <row r="16">
      <c r="A16" s="11" t="n">
        <v>14</v>
      </c>
      <c r="B16" s="11" t="inlineStr">
        <is>
          <t>Modules</t>
        </is>
      </c>
      <c r="C16" s="12" t="inlineStr">
        <is>
          <t>microSD card 32 GB high endurance</t>
        </is>
      </c>
      <c r="D16" s="12" t="inlineStr">
        <is>
          <t>SanDisk Industrial</t>
        </is>
      </c>
      <c r="E16" s="11" t="n">
        <v>1</v>
      </c>
      <c r="F16" s="13" t="n">
        <v>9</v>
      </c>
      <c r="G16" s="13" t="n">
        <v>8</v>
      </c>
      <c r="H16" s="13" t="n">
        <v>7.5</v>
      </c>
      <c r="I16" s="13" t="n">
        <v>7</v>
      </c>
      <c r="J16" s="14">
        <f>$E16*F16</f>
        <v/>
      </c>
      <c r="K16" s="14">
        <f>$E16*G16</f>
        <v/>
      </c>
      <c r="L16" s="14">
        <f>$E16*H16</f>
        <v/>
      </c>
      <c r="M16" s="14">
        <f>$E16*I16</f>
        <v/>
      </c>
      <c r="N16" s="11" t="inlineStr">
        <is>
          <t>Yes</t>
        </is>
      </c>
      <c r="O16" s="12" t="inlineStr">
        <is>
          <t>v1 line 18, unchanged.</t>
        </is>
      </c>
    </row>
    <row r="17">
      <c r="A17" s="11" t="n">
        <v>15</v>
      </c>
      <c r="B17" s="11" t="inlineStr">
        <is>
          <t>Carrier</t>
        </is>
      </c>
      <c r="C17" s="12" t="inlineStr">
        <is>
          <t>EEG-CAR-01 Rev B carrier PCB, FOUR layers, 150.0 x 130.0 mm, ENIG</t>
        </is>
      </c>
      <c r="D17" s="12" t="inlineStr">
        <is>
          <t>fabricated from the released Gerber set</t>
        </is>
      </c>
      <c r="E17" s="11" t="n">
        <v>1</v>
      </c>
      <c r="F17" s="13" t="n">
        <v>30</v>
      </c>
      <c r="G17" s="13" t="n">
        <v>16</v>
      </c>
      <c r="H17" s="13" t="n">
        <v>11</v>
      </c>
      <c r="I17" s="13" t="n">
        <v>8</v>
      </c>
      <c r="J17" s="14">
        <f>$E17*F17</f>
        <v/>
      </c>
      <c r="K17" s="14">
        <f>$E17*G17</f>
        <v/>
      </c>
      <c r="L17" s="14">
        <f>$E17*H17</f>
        <v/>
      </c>
      <c r="M17" s="14">
        <f>$E17*I17</f>
        <v/>
      </c>
      <c r="N17" s="11" t="inlineStr">
        <is>
          <t>n/a</t>
        </is>
      </c>
      <c r="O17" s="12" t="inlineStr">
        <is>
          <t>v1 line 1 was 12/8/6/5 for a ~95x65 two-layer board. v2's is 150.0 x 130.0 mm and FOUR layers. README_package_index.txt puts the four-layer premium at about EUR 35 in total at 2 units and about EUR 3 a board at 50; this line carries that.</t>
        </is>
      </c>
    </row>
    <row r="18">
      <c r="A18" s="11" t="n">
        <v>16</v>
      </c>
      <c r="B18" s="11" t="inlineStr">
        <is>
          <t>Carrier</t>
        </is>
      </c>
      <c r="C18" s="12" t="inlineStr">
        <is>
          <t>EEG-CAR-01 assembly per the carrier sub-BOM sheet</t>
        </is>
      </c>
      <c r="D18" s="12" t="inlineStr">
        <is>
          <t>see sheet 'Carrier sub-BOM'</t>
        </is>
      </c>
      <c r="E18" s="11" t="n">
        <v>1</v>
      </c>
      <c r="F18" s="13" t="n">
        <v>75</v>
      </c>
      <c r="G18" s="13" t="n">
        <v>45</v>
      </c>
      <c r="H18" s="13" t="n">
        <v>32</v>
      </c>
      <c r="I18" s="13" t="n">
        <v>25</v>
      </c>
      <c r="J18" s="14">
        <f>$E18*F18</f>
        <v/>
      </c>
      <c r="K18" s="14">
        <f>$E18*G18</f>
        <v/>
      </c>
      <c r="L18" s="14">
        <f>$E18*H18</f>
        <v/>
      </c>
      <c r="M18" s="14">
        <f>$E18*I18</f>
        <v/>
      </c>
      <c r="N18" s="11" t="inlineStr">
        <is>
          <t>Per sub-BOM</t>
        </is>
      </c>
      <c r="O18" s="12" t="inlineStr">
        <is>
          <t>v1 line 2 was 60/35/25/20 for 112 placements. v2 has 189 (153 SMT placed parts + 33 through-hole + 3 fiducials).</t>
        </is>
      </c>
    </row>
    <row r="19">
      <c r="A19" s="11" t="n">
        <v>17</v>
      </c>
      <c r="B19" s="11" t="inlineStr">
        <is>
          <t>Carrier</t>
        </is>
      </c>
      <c r="C19" s="12" t="inlineStr">
        <is>
          <t>Ribbon-jumper set, keyed, per ICD-EEG-006 section 3</t>
        </is>
      </c>
      <c r="D19" s="12" t="inlineStr">
        <is>
          <t>2.54 mm IDC ribbon, made up</t>
        </is>
      </c>
      <c r="E19" s="11" t="n">
        <v>1</v>
      </c>
      <c r="F19" s="13" t="n">
        <v>7</v>
      </c>
      <c r="G19" s="13" t="n">
        <v>5.5</v>
      </c>
      <c r="H19" s="13" t="n">
        <v>4.5</v>
      </c>
      <c r="I19" s="13" t="n">
        <v>4</v>
      </c>
      <c r="J19" s="14">
        <f>$E19*F19</f>
        <v/>
      </c>
      <c r="K19" s="14">
        <f>$E19*G19</f>
        <v/>
      </c>
      <c r="L19" s="14">
        <f>$E19*H19</f>
        <v/>
      </c>
      <c r="M19" s="14">
        <f>$E19*I19</f>
        <v/>
      </c>
      <c r="N19" s="11" t="inlineStr">
        <is>
          <t>Yes</t>
        </is>
      </c>
      <c r="O19" s="12" t="inlineStr">
        <is>
          <t>Made-up 2.54 mm keyed IDC ribbon set, WH-EEG-008 / ICD-EEG-006 section 3. NEW IN v2 with the module architecture.</t>
        </is>
      </c>
    </row>
    <row r="20">
      <c r="A20" s="11" t="n">
        <v>18</v>
      </c>
      <c r="B20" s="11" t="inlineStr">
        <is>
          <t>Printed</t>
        </is>
      </c>
      <c r="C20" s="12" t="inlineStr">
        <is>
          <t>HM-01 helmet frame monocoque, PA12 MJF</t>
        </is>
      </c>
      <c r="D20" s="12" t="inlineStr">
        <is>
          <t>MJF PA12, dyed graphite</t>
        </is>
      </c>
      <c r="E20" s="11" t="n">
        <v>1</v>
      </c>
      <c r="F20" s="13" t="n">
        <v>45</v>
      </c>
      <c r="G20" s="13" t="n">
        <v>34</v>
      </c>
      <c r="H20" s="13" t="n">
        <v>27</v>
      </c>
      <c r="I20" s="13" t="n">
        <v>22</v>
      </c>
      <c r="J20" s="14">
        <f>$E20*F20</f>
        <v/>
      </c>
      <c r="K20" s="14">
        <f>$E20*G20</f>
        <v/>
      </c>
      <c r="L20" s="14">
        <f>$E20*H20</f>
        <v/>
      </c>
      <c r="M20" s="14">
        <f>$E20*I20</f>
        <v/>
      </c>
      <c r="N20" s="11" t="inlineStr">
        <is>
          <t>Process only</t>
        </is>
      </c>
      <c r="O20" s="12" t="inlineStr">
        <is>
          <t>HM-01, 133.6 cm3, the largest printed part in the kit.</t>
        </is>
      </c>
    </row>
    <row r="21">
      <c r="A21" s="11" t="n">
        <v>19</v>
      </c>
      <c r="B21" s="11" t="inlineStr">
        <is>
          <t>Printed</t>
        </is>
      </c>
      <c r="C21" s="12" t="inlineStr">
        <is>
          <t>HM-04 electrode assembly body</t>
        </is>
      </c>
      <c r="D21" s="12" t="inlineStr">
        <is>
          <t>MJF PA12</t>
        </is>
      </c>
      <c r="E21" s="11" t="n">
        <v>10</v>
      </c>
      <c r="F21" s="13" t="n">
        <v>2.6</v>
      </c>
      <c r="G21" s="13" t="n">
        <v>2</v>
      </c>
      <c r="H21" s="13" t="n">
        <v>1.6</v>
      </c>
      <c r="I21" s="13" t="n">
        <v>1.4</v>
      </c>
      <c r="J21" s="14">
        <f>$E21*F21</f>
        <v/>
      </c>
      <c r="K21" s="14">
        <f>$E21*G21</f>
        <v/>
      </c>
      <c r="L21" s="14">
        <f>$E21*H21</f>
        <v/>
      </c>
      <c r="M21" s="14">
        <f>$E21*I21</f>
        <v/>
      </c>
      <c r="N21" s="11" t="inlineStr">
        <is>
          <t>Process only</t>
        </is>
      </c>
      <c r="O21" s="12" t="inlineStr">
        <is>
          <t>HM-04, 1.9 cm3 each, TEN per kit (8 fitted + 2 spare).</t>
        </is>
      </c>
    </row>
    <row r="22">
      <c r="A22" s="11" t="n">
        <v>20</v>
      </c>
      <c r="B22" s="11" t="inlineStr">
        <is>
          <t>Printed</t>
        </is>
      </c>
      <c r="C22" s="12" t="inlineStr">
        <is>
          <t>HM-08 battery hatch (called HM-07 in v1 -- see PARTS-EEG-019)</t>
        </is>
      </c>
      <c r="D22" s="12" t="inlineStr">
        <is>
          <t>MJF PA12</t>
        </is>
      </c>
      <c r="E22" s="11" t="n">
        <v>1</v>
      </c>
      <c r="F22" s="13" t="n">
        <v>4</v>
      </c>
      <c r="G22" s="13" t="n">
        <v>3</v>
      </c>
      <c r="H22" s="13" t="n">
        <v>2.5</v>
      </c>
      <c r="I22" s="13" t="n">
        <v>2.2</v>
      </c>
      <c r="J22" s="14">
        <f>$E22*F22</f>
        <v/>
      </c>
      <c r="K22" s="14">
        <f>$E22*G22</f>
        <v/>
      </c>
      <c r="L22" s="14">
        <f>$E22*H22</f>
        <v/>
      </c>
      <c r="M22" s="14">
        <f>$E22*I22</f>
        <v/>
      </c>
      <c r="N22" s="11" t="inlineStr">
        <is>
          <t>Process only</t>
        </is>
      </c>
      <c r="O22" s="12" t="inlineStr">
        <is>
          <t>HM-08, 6.9 cm3. Called HM-07 in v1; renumbered because HM-07 named two different parts (PARTS-EEG-019, ECO-EEG-015).</t>
        </is>
      </c>
    </row>
    <row r="23">
      <c r="A23" s="11" t="n">
        <v>21</v>
      </c>
      <c r="B23" s="11" t="inlineStr">
        <is>
          <t>Printed</t>
        </is>
      </c>
      <c r="C23" s="12" t="inlineStr">
        <is>
          <t>HM-07 boom microphone arm</t>
        </is>
      </c>
      <c r="D23" s="12" t="inlineStr">
        <is>
          <t>MJF PA12 + gooseneck</t>
        </is>
      </c>
      <c r="E23" s="11" t="n">
        <v>1</v>
      </c>
      <c r="F23" s="13" t="n">
        <v>6</v>
      </c>
      <c r="G23" s="13" t="n">
        <v>4.5</v>
      </c>
      <c r="H23" s="13" t="n">
        <v>3.8</v>
      </c>
      <c r="I23" s="13" t="n">
        <v>3.2</v>
      </c>
      <c r="J23" s="14">
        <f>$E23*F23</f>
        <v/>
      </c>
      <c r="K23" s="14">
        <f>$E23*G23</f>
        <v/>
      </c>
      <c r="L23" s="14">
        <f>$E23*H23</f>
        <v/>
      </c>
      <c r="M23" s="14">
        <f>$E23*I23</f>
        <v/>
      </c>
      <c r="N23" s="11" t="inlineStr">
        <is>
          <t>Process only</t>
        </is>
      </c>
      <c r="O23" s="12" t="inlineStr">
        <is>
          <t>HM-07 boom arm, printed mount only; the 120 mm gooseneck is line 29 and the capsule is line 40. v1 line 14 bundled all three at 14/11/9/8.</t>
        </is>
      </c>
    </row>
    <row r="24">
      <c r="A24" s="11" t="n">
        <v>22</v>
      </c>
      <c r="B24" s="11" t="inlineStr">
        <is>
          <t>Printed</t>
        </is>
      </c>
      <c r="C24" s="12" t="inlineStr">
        <is>
          <t>MP-01 module mounting plate</t>
        </is>
      </c>
      <c r="D24" s="12" t="inlineStr">
        <is>
          <t>MJF PA12</t>
        </is>
      </c>
      <c r="E24" s="11" t="n">
        <v>1</v>
      </c>
      <c r="F24" s="13" t="n">
        <v>12</v>
      </c>
      <c r="G24" s="13" t="n">
        <v>9</v>
      </c>
      <c r="H24" s="13" t="n">
        <v>7.5</v>
      </c>
      <c r="I24" s="13" t="n">
        <v>6.5</v>
      </c>
      <c r="J24" s="14">
        <f>$E24*F24</f>
        <v/>
      </c>
      <c r="K24" s="14">
        <f>$E24*G24</f>
        <v/>
      </c>
      <c r="L24" s="14">
        <f>$E24*H24</f>
        <v/>
      </c>
      <c r="M24" s="14">
        <f>$E24*I24</f>
        <v/>
      </c>
      <c r="N24" s="11" t="inlineStr">
        <is>
          <t>Process only</t>
        </is>
      </c>
      <c r="O24" s="12" t="inlineStr">
        <is>
          <t>MP-01, the module mounting plate. NEW IN v2.</t>
        </is>
      </c>
    </row>
    <row r="25">
      <c r="A25" s="11" t="n">
        <v>23</v>
      </c>
      <c r="B25" s="11" t="inlineStr">
        <is>
          <t>Printed</t>
        </is>
      </c>
      <c r="C25" s="12" t="inlineStr">
        <is>
          <t>POD-P1 enclosure base and lid -- Phase 1 only</t>
        </is>
      </c>
      <c r="D25" s="12" t="inlineStr">
        <is>
          <t>MJF PA12 or FDM PETG</t>
        </is>
      </c>
      <c r="E25" s="11" t="n">
        <v>1</v>
      </c>
      <c r="F25" s="13" t="n">
        <v>46</v>
      </c>
      <c r="G25" s="13" t="n">
        <v>34</v>
      </c>
      <c r="H25" s="13" t="n">
        <v>27</v>
      </c>
      <c r="I25" s="13" t="n">
        <v>22</v>
      </c>
      <c r="J25" s="14">
        <f>$E25*F25</f>
        <v/>
      </c>
      <c r="K25" s="14">
        <f>$E25*G25</f>
        <v/>
      </c>
      <c r="L25" s="14">
        <f>$E25*H25</f>
        <v/>
      </c>
      <c r="M25" s="14">
        <f>$E25*I25</f>
        <v/>
      </c>
      <c r="N25" s="11" t="inlineStr">
        <is>
          <t>Process only</t>
        </is>
      </c>
      <c r="O25" s="12" t="inlineStr">
        <is>
          <t>v1 line 34 was 38/28/22/18 for a 146.8 x 140.8 x 44 mm pod. POD-P1 is now 163 x 143 x 58 mm to take the bigger carrier.</t>
        </is>
      </c>
    </row>
    <row r="26">
      <c r="A26" s="11" t="n">
        <v>24</v>
      </c>
      <c r="B26" s="11" t="inlineStr">
        <is>
          <t>Printed</t>
        </is>
      </c>
      <c r="C26" s="12" t="inlineStr">
        <is>
          <t>HM-02 TPU comfort pads x4 and chin-cup liner</t>
        </is>
      </c>
      <c r="D26" s="12" t="inlineStr">
        <is>
          <t>TPU 85A</t>
        </is>
      </c>
      <c r="E26" s="11" t="n">
        <v>1</v>
      </c>
      <c r="F26" s="13" t="n">
        <v>8</v>
      </c>
      <c r="G26" s="13" t="n">
        <v>6.5</v>
      </c>
      <c r="H26" s="13" t="n">
        <v>5.5</v>
      </c>
      <c r="I26" s="13" t="n">
        <v>5</v>
      </c>
      <c r="J26" s="14">
        <f>$E26*F26</f>
        <v/>
      </c>
      <c r="K26" s="14">
        <f>$E26*G26</f>
        <v/>
      </c>
      <c r="L26" s="14">
        <f>$E26*H26</f>
        <v/>
      </c>
      <c r="M26" s="14">
        <f>$E26*I26</f>
        <v/>
      </c>
      <c r="N26" s="11" t="inlineStr">
        <is>
          <t>Yes</t>
        </is>
      </c>
      <c r="O26" s="12" t="inlineStr">
        <is>
          <t>HM-02, TPU 85A comfort pads x4 plus the chin-cup liner.</t>
        </is>
      </c>
    </row>
    <row r="27">
      <c r="A27" s="11" t="n">
        <v>25</v>
      </c>
      <c r="B27" s="11" t="inlineStr">
        <is>
          <t>Printed</t>
        </is>
      </c>
      <c r="C27" s="12" t="inlineStr">
        <is>
          <t>HM-09 service key</t>
        </is>
      </c>
      <c r="D27" s="12" t="inlineStr">
        <is>
          <t>MJF PA12</t>
        </is>
      </c>
      <c r="E27" s="11" t="n">
        <v>0</v>
      </c>
      <c r="F27" s="13" t="n">
        <v>3</v>
      </c>
      <c r="G27" s="13" t="n">
        <v>2.2</v>
      </c>
      <c r="H27" s="13" t="n">
        <v>1.8</v>
      </c>
      <c r="I27" s="13" t="n">
        <v>1.5</v>
      </c>
      <c r="J27" s="14">
        <f>$E27*F27</f>
        <v/>
      </c>
      <c r="K27" s="14">
        <f>$E27*G27</f>
        <v/>
      </c>
      <c r="L27" s="14">
        <f>$E27*H27</f>
        <v/>
      </c>
      <c r="M27" s="14">
        <f>$E27*I27</f>
        <v/>
      </c>
      <c r="N27" s="11" t="inlineStr">
        <is>
          <t>Process only</t>
        </is>
      </c>
      <c r="O27" s="12" t="inlineStr">
        <is>
          <t>HM-09 service key. Qty 0 per kit -- one per SITE, not per kit, so it contributes nothing to the per-kit cost.</t>
        </is>
      </c>
    </row>
    <row r="28">
      <c r="A28" s="11" t="n">
        <v>26</v>
      </c>
      <c r="B28" s="11" t="inlineStr">
        <is>
          <t>Printed</t>
        </is>
      </c>
      <c r="C28" s="12" t="inlineStr">
        <is>
          <t>FIT-01 fit-test coupon</t>
        </is>
      </c>
      <c r="D28" s="12" t="inlineStr">
        <is>
          <t>same build as the batch</t>
        </is>
      </c>
      <c r="E28" s="11" t="n">
        <v>0</v>
      </c>
      <c r="F28" s="13" t="n">
        <v>1.5</v>
      </c>
      <c r="G28" s="13" t="n">
        <v>1.2</v>
      </c>
      <c r="H28" s="13" t="n">
        <v>1</v>
      </c>
      <c r="I28" s="13" t="n">
        <v>0.9</v>
      </c>
      <c r="J28" s="14">
        <f>$E28*F28</f>
        <v/>
      </c>
      <c r="K28" s="14">
        <f>$E28*G28</f>
        <v/>
      </c>
      <c r="L28" s="14">
        <f>$E28*H28</f>
        <v/>
      </c>
      <c r="M28" s="14">
        <f>$E28*I28</f>
        <v/>
      </c>
      <c r="N28" s="11" t="inlineStr">
        <is>
          <t>Process only</t>
        </is>
      </c>
      <c r="O28" s="12" t="inlineStr">
        <is>
          <t>FIT-01 coupon. Qty 0 per kit; printed once per build batch.</t>
        </is>
      </c>
    </row>
    <row r="29">
      <c r="A29" s="11" t="n">
        <v>27</v>
      </c>
      <c r="B29" s="11" t="inlineStr">
        <is>
          <t>Bought-in mechanical</t>
        </is>
      </c>
      <c r="C29" s="12" t="inlineStr">
        <is>
          <t>Electrode assembly springs 3-6 N, stainless</t>
        </is>
      </c>
      <c r="D29" s="12" t="inlineStr">
        <is>
          <t>per HM-04 drawing</t>
        </is>
      </c>
      <c r="E29" s="11" t="n">
        <v>10</v>
      </c>
      <c r="F29" s="13" t="n">
        <v>0.35</v>
      </c>
      <c r="G29" s="13" t="n">
        <v>0.28</v>
      </c>
      <c r="H29" s="13" t="n">
        <v>0.24</v>
      </c>
      <c r="I29" s="13" t="n">
        <v>0.21</v>
      </c>
      <c r="J29" s="14">
        <f>$E29*F29</f>
        <v/>
      </c>
      <c r="K29" s="14">
        <f>$E29*G29</f>
        <v/>
      </c>
      <c r="L29" s="14">
        <f>$E29*H29</f>
        <v/>
      </c>
      <c r="M29" s="14">
        <f>$E29*I29</f>
        <v/>
      </c>
      <c r="N29" s="11" t="inlineStr">
        <is>
          <t>Yes</t>
        </is>
      </c>
      <c r="O29" s="12" t="inlineStr">
        <is>
          <t>Stainless compression springs, 3-6 N, ten per kit.</t>
        </is>
      </c>
    </row>
    <row r="30">
      <c r="A30" s="11" t="n">
        <v>28</v>
      </c>
      <c r="B30" s="11" t="inlineStr">
        <is>
          <t>Bought-in mechanical</t>
        </is>
      </c>
      <c r="C30" s="12" t="inlineStr">
        <is>
          <t>Occipital yoke ratchet assembly (POM pawl)</t>
        </is>
      </c>
      <c r="D30" s="12" t="inlineStr">
        <is>
          <t>hard-hat style ratchet</t>
        </is>
      </c>
      <c r="E30" s="11" t="n">
        <v>1</v>
      </c>
      <c r="F30" s="13" t="n">
        <v>4.5</v>
      </c>
      <c r="G30" s="13" t="n">
        <v>3.5</v>
      </c>
      <c r="H30" s="13" t="n">
        <v>3</v>
      </c>
      <c r="I30" s="13" t="n">
        <v>2.6</v>
      </c>
      <c r="J30" s="14">
        <f>$E30*F30</f>
        <v/>
      </c>
      <c r="K30" s="14">
        <f>$E30*G30</f>
        <v/>
      </c>
      <c r="L30" s="14">
        <f>$E30*H30</f>
        <v/>
      </c>
      <c r="M30" s="14">
        <f>$E30*I30</f>
        <v/>
      </c>
      <c r="N30" s="11" t="inlineStr">
        <is>
          <t>Yes</t>
        </is>
      </c>
      <c r="O30" s="12" t="inlineStr">
        <is>
          <t>Hard-hat style occipital ratchet with POM pawl.</t>
        </is>
      </c>
    </row>
    <row r="31">
      <c r="A31" s="11" t="n">
        <v>29</v>
      </c>
      <c r="B31" s="11" t="inlineStr">
        <is>
          <t>Bought-in mechanical</t>
        </is>
      </c>
      <c r="C31" s="12" t="inlineStr">
        <is>
          <t>Boom gooseneck 120 mm and mount</t>
        </is>
      </c>
      <c r="D31" s="12" t="inlineStr">
        <is>
          <t>generic</t>
        </is>
      </c>
      <c r="E31" s="11" t="n">
        <v>1</v>
      </c>
      <c r="F31" s="13" t="n">
        <v>3.5</v>
      </c>
      <c r="G31" s="13" t="n">
        <v>2.8</v>
      </c>
      <c r="H31" s="13" t="n">
        <v>2.4</v>
      </c>
      <c r="I31" s="13" t="n">
        <v>2.1</v>
      </c>
      <c r="J31" s="14">
        <f>$E31*F31</f>
        <v/>
      </c>
      <c r="K31" s="14">
        <f>$E31*G31</f>
        <v/>
      </c>
      <c r="L31" s="14">
        <f>$E31*H31</f>
        <v/>
      </c>
      <c r="M31" s="14">
        <f>$E31*I31</f>
        <v/>
      </c>
      <c r="N31" s="11" t="inlineStr">
        <is>
          <t>Yes</t>
        </is>
      </c>
      <c r="O31" s="12" t="inlineStr">
        <is>
          <t>120 mm gooseneck and mount; part of v1's bundled line 14.</t>
        </is>
      </c>
    </row>
    <row r="32">
      <c r="A32" s="11" t="n">
        <v>30</v>
      </c>
      <c r="B32" s="11" t="inlineStr">
        <is>
          <t>Bought-in mechanical</t>
        </is>
      </c>
      <c r="C32" s="12" t="inlineStr">
        <is>
          <t>Chin strap webbing, chin cup and anchors</t>
        </is>
      </c>
      <c r="D32" s="12" t="inlineStr">
        <is>
          <t>generic</t>
        </is>
      </c>
      <c r="E32" s="11" t="n">
        <v>1</v>
      </c>
      <c r="F32" s="13" t="n">
        <v>4</v>
      </c>
      <c r="G32" s="13" t="n">
        <v>3.2</v>
      </c>
      <c r="H32" s="13" t="n">
        <v>2.7</v>
      </c>
      <c r="I32" s="13" t="n">
        <v>2.4</v>
      </c>
      <c r="J32" s="14">
        <f>$E32*F32</f>
        <v/>
      </c>
      <c r="K32" s="14">
        <f>$E32*G32</f>
        <v/>
      </c>
      <c r="L32" s="14">
        <f>$E32*H32</f>
        <v/>
      </c>
      <c r="M32" s="14">
        <f>$E32*I32</f>
        <v/>
      </c>
      <c r="N32" s="11" t="inlineStr">
        <is>
          <t>Yes</t>
        </is>
      </c>
      <c r="O32" s="12" t="inlineStr">
        <is>
          <t>Chin strap webbing, cup and anchors.</t>
        </is>
      </c>
    </row>
    <row r="33">
      <c r="A33" s="11" t="n">
        <v>31</v>
      </c>
      <c r="B33" s="11" t="inlineStr">
        <is>
          <t>Bought-in mechanical</t>
        </is>
      </c>
      <c r="C33" s="12" t="inlineStr">
        <is>
          <t>M3 x 18 nylon hex standoffs and M3 x 6 screws</t>
        </is>
      </c>
      <c r="D33" s="12" t="inlineStr">
        <is>
          <t>Wurth 970200321 class</t>
        </is>
      </c>
      <c r="E33" s="11" t="n">
        <v>4</v>
      </c>
      <c r="F33" s="13" t="n">
        <v>0.4</v>
      </c>
      <c r="G33" s="13" t="n">
        <v>0.3</v>
      </c>
      <c r="H33" s="13" t="n">
        <v>0.26</v>
      </c>
      <c r="I33" s="13" t="n">
        <v>0.22</v>
      </c>
      <c r="J33" s="14">
        <f>$E33*F33</f>
        <v/>
      </c>
      <c r="K33" s="14">
        <f>$E33*G33</f>
        <v/>
      </c>
      <c r="L33" s="14">
        <f>$E33*H33</f>
        <v/>
      </c>
      <c r="M33" s="14">
        <f>$E33*I33</f>
        <v/>
      </c>
      <c r="N33" s="11" t="inlineStr">
        <is>
          <t>Yes</t>
        </is>
      </c>
      <c r="O33" s="12" t="inlineStr">
        <is>
          <t>M3 x 18 nylon standoffs and M3 x 6 screws, four sets.</t>
        </is>
      </c>
    </row>
    <row r="34">
      <c r="A34" s="11" t="n">
        <v>32</v>
      </c>
      <c r="B34" s="11" t="inlineStr">
        <is>
          <t>Bought-in mechanical</t>
        </is>
      </c>
      <c r="C34" s="12" t="inlineStr">
        <is>
          <t>Helmet harness WH-01, 12-way screened, per WH-EEG-008</t>
        </is>
      </c>
      <c r="D34" s="12" t="inlineStr">
        <is>
          <t>custom assembly</t>
        </is>
      </c>
      <c r="E34" s="11" t="n">
        <v>1</v>
      </c>
      <c r="F34" s="13" t="n">
        <v>18</v>
      </c>
      <c r="G34" s="13" t="n">
        <v>14</v>
      </c>
      <c r="H34" s="13" t="n">
        <v>11.5</v>
      </c>
      <c r="I34" s="13" t="n">
        <v>10</v>
      </c>
      <c r="J34" s="14">
        <f>$E34*F34</f>
        <v/>
      </c>
      <c r="K34" s="14">
        <f>$E34*G34</f>
        <v/>
      </c>
      <c r="L34" s="14">
        <f>$E34*H34</f>
        <v/>
      </c>
      <c r="M34" s="14">
        <f>$E34*I34</f>
        <v/>
      </c>
      <c r="N34" s="11" t="inlineStr">
        <is>
          <t>Yes</t>
        </is>
      </c>
      <c r="O34" s="12" t="inlineStr">
        <is>
          <t>WH-01, 12-way screened custom assembly, WH-EEG-008. v1 had one 20-way harness; ECO-EEG-014 split it into two cables.</t>
        </is>
      </c>
    </row>
    <row r="35">
      <c r="A35" s="11" t="n">
        <v>33</v>
      </c>
      <c r="B35" s="11" t="inlineStr">
        <is>
          <t>Bought-in mechanical</t>
        </is>
      </c>
      <c r="C35" s="12" t="inlineStr">
        <is>
          <t>Contact-light harness WH-02, 10-way, per WH-EEG-008</t>
        </is>
      </c>
      <c r="D35" s="12" t="inlineStr">
        <is>
          <t>custom assembly</t>
        </is>
      </c>
      <c r="E35" s="11" t="n">
        <v>1</v>
      </c>
      <c r="F35" s="13" t="n">
        <v>12</v>
      </c>
      <c r="G35" s="13" t="n">
        <v>9</v>
      </c>
      <c r="H35" s="13" t="n">
        <v>7.5</v>
      </c>
      <c r="I35" s="13" t="n">
        <v>6.5</v>
      </c>
      <c r="J35" s="14">
        <f>$E35*F35</f>
        <v/>
      </c>
      <c r="K35" s="14">
        <f>$E35*G35</f>
        <v/>
      </c>
      <c r="L35" s="14">
        <f>$E35*H35</f>
        <v/>
      </c>
      <c r="M35" s="14">
        <f>$E35*I35</f>
        <v/>
      </c>
      <c r="N35" s="11" t="inlineStr">
        <is>
          <t>Yes</t>
        </is>
      </c>
      <c r="O35" s="12" t="inlineStr">
        <is>
          <t>WH-02, 10-way contact-light harness. NEW IN v2 -- it did not exist in v1 because the lights had no driver.</t>
        </is>
      </c>
    </row>
    <row r="36">
      <c r="A36" s="11" t="n">
        <v>34</v>
      </c>
      <c r="B36" s="11" t="inlineStr">
        <is>
          <t>Electrodes</t>
        </is>
      </c>
      <c r="C36" s="12" t="inlineStr">
        <is>
          <t>Sintered Ag/AgCl cup electrodes on service bayonet</t>
        </is>
      </c>
      <c r="D36" s="12" t="inlineStr">
        <is>
          <t>Wuhan Greentek sintered cup</t>
        </is>
      </c>
      <c r="E36" s="11" t="n">
        <v>10</v>
      </c>
      <c r="F36" s="13" t="n">
        <v>9.5</v>
      </c>
      <c r="G36" s="13" t="n">
        <v>8.5</v>
      </c>
      <c r="H36" s="13" t="n">
        <v>7.8</v>
      </c>
      <c r="I36" s="13" t="n">
        <v>7.5</v>
      </c>
      <c r="J36" s="14">
        <f>$E36*F36</f>
        <v/>
      </c>
      <c r="K36" s="14">
        <f>$E36*G36</f>
        <v/>
      </c>
      <c r="L36" s="14">
        <f>$E36*H36</f>
        <v/>
      </c>
      <c r="M36" s="14">
        <f>$E36*I36</f>
        <v/>
      </c>
      <c r="N36" s="11" t="inlineStr">
        <is>
          <t>Yes</t>
        </is>
      </c>
      <c r="O36" s="12" t="inlineStr">
        <is>
          <t>v1 line 37. Greentek MOQ is 200 pieces, which covers about 16 kits; AVL-EEG-017 section 4 governs the order, not the build. TEN per kit on the service bayonet.</t>
        </is>
      </c>
    </row>
    <row r="37">
      <c r="A37" s="11" t="n">
        <v>35</v>
      </c>
      <c r="B37" s="11" t="inlineStr">
        <is>
          <t>Electrodes</t>
        </is>
      </c>
      <c r="C37" s="12" t="inlineStr">
        <is>
          <t>Ag/AgCl ear-clip reference electrodes</t>
        </is>
      </c>
      <c r="D37" s="12" t="inlineStr">
        <is>
          <t>Greentek ear clip</t>
        </is>
      </c>
      <c r="E37" s="11" t="n">
        <v>2</v>
      </c>
      <c r="F37" s="13" t="n">
        <v>8</v>
      </c>
      <c r="G37" s="13" t="n">
        <v>7</v>
      </c>
      <c r="H37" s="13" t="n">
        <v>6.5</v>
      </c>
      <c r="I37" s="13" t="n">
        <v>6</v>
      </c>
      <c r="J37" s="14">
        <f>$E37*F37</f>
        <v/>
      </c>
      <c r="K37" s="14">
        <f>$E37*G37</f>
        <v/>
      </c>
      <c r="L37" s="14">
        <f>$E37*H37</f>
        <v/>
      </c>
      <c r="M37" s="14">
        <f>$E37*I37</f>
        <v/>
      </c>
      <c r="N37" s="11" t="inlineStr">
        <is>
          <t>Yes</t>
        </is>
      </c>
      <c r="O37" s="12" t="inlineStr">
        <is>
          <t>v1 line 38, unchanged.</t>
        </is>
      </c>
    </row>
    <row r="38">
      <c r="A38" s="11" t="n">
        <v>36</v>
      </c>
      <c r="B38" s="11" t="inlineStr">
        <is>
          <t>Electrodes</t>
        </is>
      </c>
      <c r="C38" s="12" t="inlineStr">
        <is>
          <t>EMG snap leads to DIN 42802 plug, 1 m</t>
        </is>
      </c>
      <c r="D38" s="12" t="inlineStr">
        <is>
          <t>Greentek / generic</t>
        </is>
      </c>
      <c r="E38" s="11" t="n">
        <v>3</v>
      </c>
      <c r="F38" s="13" t="n">
        <v>4</v>
      </c>
      <c r="G38" s="13" t="n">
        <v>3.5</v>
      </c>
      <c r="H38" s="13" t="n">
        <v>3.2</v>
      </c>
      <c r="I38" s="13" t="n">
        <v>3</v>
      </c>
      <c r="J38" s="14">
        <f>$E38*F38</f>
        <v/>
      </c>
      <c r="K38" s="14">
        <f>$E38*G38</f>
        <v/>
      </c>
      <c r="L38" s="14">
        <f>$E38*H38</f>
        <v/>
      </c>
      <c r="M38" s="14">
        <f>$E38*I38</f>
        <v/>
      </c>
      <c r="N38" s="11" t="inlineStr">
        <is>
          <t>Yes</t>
        </is>
      </c>
      <c r="O38" s="12" t="inlineStr">
        <is>
          <t>v1 line 39, unchanged.</t>
        </is>
      </c>
    </row>
    <row r="39">
      <c r="A39" s="11" t="n">
        <v>37</v>
      </c>
      <c r="B39" s="11" t="inlineStr">
        <is>
          <t>Electrodes</t>
        </is>
      </c>
      <c r="C39" s="12" t="inlineStr">
        <is>
          <t>Disposable EMG snap electrodes, pack of 30</t>
        </is>
      </c>
      <c r="D39" s="12" t="inlineStr">
        <is>
          <t>Ambu BlueSensor N</t>
        </is>
      </c>
      <c r="E39" s="11" t="n">
        <v>1</v>
      </c>
      <c r="F39" s="13" t="n">
        <v>9</v>
      </c>
      <c r="G39" s="13" t="n">
        <v>8</v>
      </c>
      <c r="H39" s="13" t="n">
        <v>7.5</v>
      </c>
      <c r="I39" s="13" t="n">
        <v>7</v>
      </c>
      <c r="J39" s="14">
        <f>$E39*F39</f>
        <v/>
      </c>
      <c r="K39" s="14">
        <f>$E39*G39</f>
        <v/>
      </c>
      <c r="L39" s="14">
        <f>$E39*H39</f>
        <v/>
      </c>
      <c r="M39" s="14">
        <f>$E39*I39</f>
        <v/>
      </c>
      <c r="N39" s="11" t="inlineStr">
        <is>
          <t>Yes</t>
        </is>
      </c>
      <c r="O39" s="12" t="inlineStr">
        <is>
          <t>v1 line 40, unchanged. Consumable, replaced at refurbishment.</t>
        </is>
      </c>
    </row>
    <row r="40">
      <c r="A40" s="11" t="n">
        <v>38</v>
      </c>
      <c r="B40" s="11" t="inlineStr">
        <is>
          <t>Electrodes</t>
        </is>
      </c>
      <c r="C40" s="12" t="inlineStr">
        <is>
          <t>Bicolour contact-light LEDs, two-lead red/green</t>
        </is>
      </c>
      <c r="D40" s="12" t="inlineStr">
        <is>
          <t>generic 3 mm</t>
        </is>
      </c>
      <c r="E40" s="11" t="n">
        <v>10</v>
      </c>
      <c r="F40" s="13" t="n">
        <v>0.25</v>
      </c>
      <c r="G40" s="13" t="n">
        <v>0.2</v>
      </c>
      <c r="H40" s="13" t="n">
        <v>0.16</v>
      </c>
      <c r="I40" s="13" t="n">
        <v>0.14</v>
      </c>
      <c r="J40" s="14">
        <f>$E40*F40</f>
        <v/>
      </c>
      <c r="K40" s="14">
        <f>$E40*G40</f>
        <v/>
      </c>
      <c r="L40" s="14">
        <f>$E40*H40</f>
        <v/>
      </c>
      <c r="M40" s="14">
        <f>$E40*I40</f>
        <v/>
      </c>
      <c r="N40" s="11" t="inlineStr">
        <is>
          <t>Yes</t>
        </is>
      </c>
      <c r="O40" s="12" t="inlineStr">
        <is>
          <t>Two-lead bicolour red/green 3 mm, ten per kit. NEW IN v2: v1 specified single-colour status LEDs (line 23).</t>
        </is>
      </c>
    </row>
    <row r="41">
      <c r="A41" s="11" t="n">
        <v>39</v>
      </c>
      <c r="B41" s="11" t="inlineStr">
        <is>
          <t>Audio</t>
        </is>
      </c>
      <c r="C41" s="12" t="inlineStr">
        <is>
          <t>Closed-back over-ear headphones, 32 to 64 ohm, 3.5 mm</t>
        </is>
      </c>
      <c r="D41" s="12" t="inlineStr">
        <is>
          <t>Audio-Technica ATH-M20x (47 ohm)</t>
        </is>
      </c>
      <c r="E41" s="11" t="n">
        <v>1</v>
      </c>
      <c r="F41" s="13" t="n">
        <v>45</v>
      </c>
      <c r="G41" s="13" t="n">
        <v>42</v>
      </c>
      <c r="H41" s="13" t="n">
        <v>40</v>
      </c>
      <c r="I41" s="13" t="n">
        <v>38</v>
      </c>
      <c r="J41" s="14">
        <f>$E41*F41</f>
        <v/>
      </c>
      <c r="K41" s="14">
        <f>$E41*G41</f>
        <v/>
      </c>
      <c r="L41" s="14">
        <f>$E41*H41</f>
        <v/>
      </c>
      <c r="M41" s="14">
        <f>$E41*I41</f>
        <v/>
      </c>
      <c r="N41" s="11" t="inlineStr">
        <is>
          <t>Yes</t>
        </is>
      </c>
      <c r="O41" s="12" t="inlineStr">
        <is>
          <t>v1 line 42, unchanged. THIS LINE IS CITED BY SVC-EEG-013 section 7.4: the EUR 40 charged for missing headphones is this line at the 25 break.</t>
        </is>
      </c>
    </row>
    <row r="42">
      <c r="A42" s="11" t="n">
        <v>40</v>
      </c>
      <c r="B42" s="11" t="inlineStr">
        <is>
          <t>Audio</t>
        </is>
      </c>
      <c r="C42" s="12" t="inlineStr">
        <is>
          <t>Electret capsule and windscreen for the boom</t>
        </is>
      </c>
      <c r="D42" s="12" t="inlineStr">
        <is>
          <t>Primo EM272</t>
        </is>
      </c>
      <c r="E42" s="11" t="n">
        <v>1</v>
      </c>
      <c r="F42" s="13" t="n">
        <v>9</v>
      </c>
      <c r="G42" s="13" t="n">
        <v>7.5</v>
      </c>
      <c r="H42" s="13" t="n">
        <v>6.5</v>
      </c>
      <c r="I42" s="13" t="n">
        <v>6</v>
      </c>
      <c r="J42" s="14">
        <f>$E42*F42</f>
        <v/>
      </c>
      <c r="K42" s="14">
        <f>$E42*G42</f>
        <v/>
      </c>
      <c r="L42" s="14">
        <f>$E42*H42</f>
        <v/>
      </c>
      <c r="M42" s="14">
        <f>$E42*I42</f>
        <v/>
      </c>
      <c r="N42" s="11" t="inlineStr">
        <is>
          <t>Yes</t>
        </is>
      </c>
      <c r="O42" s="12" t="inlineStr">
        <is>
          <t>Primo EM272-class electret capsule and windscreen.</t>
        </is>
      </c>
    </row>
    <row r="43">
      <c r="A43" s="11" t="n">
        <v>41</v>
      </c>
      <c r="B43" s="11" t="inlineStr">
        <is>
          <t>Consumables</t>
        </is>
      </c>
      <c r="C43" s="12" t="inlineStr">
        <is>
          <t>EEG paste 100 g x2, abrasive prep gel 100 g, saline wipes x30, blunt-tip syringes x4</t>
        </is>
      </c>
      <c r="D43" s="12" t="inlineStr">
        <is>
          <t>Greentek GT20/GT5</t>
        </is>
      </c>
      <c r="E43" s="11" t="n">
        <v>1</v>
      </c>
      <c r="F43" s="13" t="n">
        <v>29.5</v>
      </c>
      <c r="G43" s="13" t="n">
        <v>25.2</v>
      </c>
      <c r="H43" s="13" t="n">
        <v>23</v>
      </c>
      <c r="I43" s="13" t="n">
        <v>21.9</v>
      </c>
      <c r="J43" s="14">
        <f>$E43*F43</f>
        <v/>
      </c>
      <c r="K43" s="14">
        <f>$E43*G43</f>
        <v/>
      </c>
      <c r="L43" s="14">
        <f>$E43*H43</f>
        <v/>
      </c>
      <c r="M43" s="14">
        <f>$E43*I43</f>
        <v/>
      </c>
      <c r="N43" s="11" t="inlineStr">
        <is>
          <t>Yes</t>
        </is>
      </c>
      <c r="O43" s="12" t="inlineStr">
        <is>
          <t>v1 lines 43+44+45+46 summed at their own quantities: paste 2 x 7.00, prep gel 8.00, wipes/gauze set 6.00, pouch 1.50 at the 2 break.</t>
        </is>
      </c>
    </row>
    <row r="44">
      <c r="A44" s="11" t="n">
        <v>42</v>
      </c>
      <c r="B44" s="11" t="inlineStr">
        <is>
          <t>Cables</t>
        </is>
      </c>
      <c r="C44" s="12" t="inlineStr">
        <is>
          <t>USB-C to USB-A 1 m and USB-C to USB-C 1 m</t>
        </is>
      </c>
      <c r="D44" s="12" t="inlineStr">
        <is>
          <t>certified generic</t>
        </is>
      </c>
      <c r="E44" s="11" t="n">
        <v>1</v>
      </c>
      <c r="F44" s="13" t="n">
        <v>5</v>
      </c>
      <c r="G44" s="13" t="n">
        <v>4</v>
      </c>
      <c r="H44" s="13" t="n">
        <v>3.6</v>
      </c>
      <c r="I44" s="13" t="n">
        <v>3.2</v>
      </c>
      <c r="J44" s="14">
        <f>$E44*F44</f>
        <v/>
      </c>
      <c r="K44" s="14">
        <f>$E44*G44</f>
        <v/>
      </c>
      <c r="L44" s="14">
        <f>$E44*H44</f>
        <v/>
      </c>
      <c r="M44" s="14">
        <f>$E44*I44</f>
        <v/>
      </c>
      <c r="N44" s="11" t="inlineStr">
        <is>
          <t>Yes</t>
        </is>
      </c>
      <c r="O44" s="12" t="inlineStr">
        <is>
          <t>v1 lines 47+48, both cables.</t>
        </is>
      </c>
    </row>
    <row r="45">
      <c r="A45" s="11" t="n">
        <v>43</v>
      </c>
      <c r="B45" s="11" t="inlineStr">
        <is>
          <t>Cables</t>
        </is>
      </c>
      <c r="C45" s="12" t="inlineStr">
        <is>
          <t>5 V 2 A USB charger, EU plug, CE</t>
        </is>
      </c>
      <c r="D45" s="12" t="inlineStr">
        <is>
          <t>certified generic</t>
        </is>
      </c>
      <c r="E45" s="11" t="n">
        <v>1</v>
      </c>
      <c r="F45" s="13" t="n">
        <v>6</v>
      </c>
      <c r="G45" s="13" t="n">
        <v>5</v>
      </c>
      <c r="H45" s="13" t="n">
        <v>4.5</v>
      </c>
      <c r="I45" s="13" t="n">
        <v>4</v>
      </c>
      <c r="J45" s="14">
        <f>$E45*F45</f>
        <v/>
      </c>
      <c r="K45" s="14">
        <f>$E45*G45</f>
        <v/>
      </c>
      <c r="L45" s="14">
        <f>$E45*H45</f>
        <v/>
      </c>
      <c r="M45" s="14">
        <f>$E45*I45</f>
        <v/>
      </c>
      <c r="N45" s="11" t="inlineStr">
        <is>
          <t>Yes</t>
        </is>
      </c>
      <c r="O45" s="12" t="inlineStr">
        <is>
          <t>v1 line 49, unchanged.</t>
        </is>
      </c>
    </row>
    <row r="46">
      <c r="A46" s="11" t="n">
        <v>44</v>
      </c>
      <c r="B46" s="11" t="inlineStr">
        <is>
          <t>Case</t>
        </is>
      </c>
      <c r="C46" s="12" t="inlineStr">
        <is>
          <t>Hard-shell IP67 case, internal &gt;= 516 x 390 mm and &gt;= 210 mm deep, of which &gt;= 185 mm in the base</t>
        </is>
      </c>
      <c r="D46" s="12" t="inlineStr">
        <is>
          <t>Peli 1560, unwheeled variant (published internal 518 x 392 x 229 mm)</t>
        </is>
      </c>
      <c r="E46" s="11" t="n">
        <v>1</v>
      </c>
      <c r="F46" s="13" t="n">
        <v>250</v>
      </c>
      <c r="G46" s="13" t="n">
        <v>225</v>
      </c>
      <c r="H46" s="13" t="n">
        <v>205</v>
      </c>
      <c r="I46" s="13" t="n">
        <v>190</v>
      </c>
      <c r="J46" s="14">
        <f>$E46*F46</f>
        <v/>
      </c>
      <c r="K46" s="14">
        <f>$E46*G46</f>
        <v/>
      </c>
      <c r="L46" s="14">
        <f>$E46*H46</f>
        <v/>
      </c>
      <c r="M46" s="14">
        <f>$E46*I46</f>
        <v/>
      </c>
      <c r="N46" s="11" t="inlineStr">
        <is>
          <t>Yes</t>
        </is>
      </c>
      <c r="O46" s="12" t="inlineStr">
        <is>
          <t>Rev B priced 78/66/54/46 against a shell class (Nanuk 915 / Peli 1450) that is now withdrawn, and v1 line 50 priced 65/55/45/38 for a ~300 x 220 x 110 case before that. PKG-EEG-015 section 3.2 settles the envelope at &gt;= 516 x 390 x 210 mm and the shell at the Peli 1560, unwheeled and no-foam, which is a large-format case several classes up, not a size up. Indicative single-distributor list less trade discount at the four breaks. No shell has been bought, measured or quoted, so this line is the least tested in the sheet.</t>
        </is>
      </c>
    </row>
    <row r="47">
      <c r="A47" s="11" t="n">
        <v>45</v>
      </c>
      <c r="B47" s="11" t="inlineStr">
        <is>
          <t>Case</t>
        </is>
      </c>
      <c r="C47" s="12" t="inlineStr">
        <is>
          <t>Seven-layer PE foam insert, 516 x 390 mm sheet, 25 mm per layer, 175 mm stack, nine bays</t>
        </is>
      </c>
      <c r="D47" s="12" t="inlineStr">
        <is>
          <t>die-cut or laser-cut to CASE-00 Rev C</t>
        </is>
      </c>
      <c r="E47" s="11" t="n">
        <v>1</v>
      </c>
      <c r="F47" s="13" t="n">
        <v>282</v>
      </c>
      <c r="G47" s="13" t="n">
        <v>207</v>
      </c>
      <c r="H47" s="13" t="n">
        <v>158</v>
      </c>
      <c r="I47" s="13" t="n">
        <v>124</v>
      </c>
      <c r="J47" s="14">
        <f>$E47*F47</f>
        <v/>
      </c>
      <c r="K47" s="14">
        <f>$E47*G47</f>
        <v/>
      </c>
      <c r="L47" s="14">
        <f>$E47*H47</f>
        <v/>
      </c>
      <c r="M47" s="14">
        <f>$E47*I47</f>
        <v/>
      </c>
      <c r="N47" s="11" t="inlineStr">
        <is>
          <t>Yes</t>
        </is>
      </c>
      <c r="O47" s="12" t="inlineStr">
        <is>
          <t>Rev B's 34/25/19/15 priced two 340 x 250 x 25 mm sheets, 4.25 litres. The CASE-00 Rev C stack of PKG-EEG-015 section 2.2 is seven 516 x 390 x 25 mm layers, 35.2 litres: 8.29x the material and 8.29x the cut length, and the Rev B figures are scaled by that ratio at each break. Material and cutting only; the die or laser programme is the one-off on the Assumptions sheet. Not quoted, and the Rev C cut file has not been drawn.</t>
        </is>
      </c>
    </row>
    <row r="48">
      <c r="A48" s="11" t="n">
        <v>46</v>
      </c>
      <c r="B48" s="11" t="inlineStr">
        <is>
          <t>Case</t>
        </is>
      </c>
      <c r="C48" s="12" t="inlineStr">
        <is>
          <t>Laminated quick-start card and packing photograph; double-wall outer carton</t>
        </is>
      </c>
      <c r="D48" s="12" t="inlineStr">
        <is>
          <t>print</t>
        </is>
      </c>
      <c r="E48" s="11" t="n">
        <v>1</v>
      </c>
      <c r="F48" s="13" t="n">
        <v>5</v>
      </c>
      <c r="G48" s="13" t="n">
        <v>4</v>
      </c>
      <c r="H48" s="13" t="n">
        <v>3.2</v>
      </c>
      <c r="I48" s="13" t="n">
        <v>2.8</v>
      </c>
      <c r="J48" s="14">
        <f>$E48*F48</f>
        <v/>
      </c>
      <c r="K48" s="14">
        <f>$E48*G48</f>
        <v/>
      </c>
      <c r="L48" s="14">
        <f>$E48*H48</f>
        <v/>
      </c>
      <c r="M48" s="14">
        <f>$E48*I48</f>
        <v/>
      </c>
      <c r="N48" s="11" t="inlineStr">
        <is>
          <t>Yes</t>
        </is>
      </c>
      <c r="O48" s="12" t="inlineStr">
        <is>
          <t>v1 lines 52+53, the laminated card and the shipping carton.</t>
        </is>
      </c>
    </row>
    <row r="49">
      <c r="A49" s="11" t="n">
        <v>47</v>
      </c>
      <c r="B49" s="11" t="inlineStr">
        <is>
          <t>Service</t>
        </is>
      </c>
      <c r="C49" s="12" t="inlineStr">
        <is>
          <t>Provisioning, firmware load and TST-EEG-004 Rev C</t>
        </is>
      </c>
      <c r="D49" s="12" t="inlineStr">
        <is>
          <t>per TST-EEG-004</t>
        </is>
      </c>
      <c r="E49" s="11" t="n">
        <v>1</v>
      </c>
      <c r="F49" s="13" t="n">
        <v>45</v>
      </c>
      <c r="G49" s="13" t="n">
        <v>25</v>
      </c>
      <c r="H49" s="13" t="n">
        <v>18</v>
      </c>
      <c r="I49" s="13" t="n">
        <v>15</v>
      </c>
      <c r="J49" s="14">
        <f>$E49*F49</f>
        <v/>
      </c>
      <c r="K49" s="14">
        <f>$E49*G49</f>
        <v/>
      </c>
      <c r="L49" s="14">
        <f>$E49*H49</f>
        <v/>
      </c>
      <c r="M49" s="14">
        <f>$E49*I49</f>
        <v/>
      </c>
      <c r="N49" s="11" t="inlineStr">
        <is>
          <t>n/a</t>
        </is>
      </c>
      <c r="O49" s="12" t="inlineStr">
        <is>
          <t>v1 line 54, unchanged. TST-EEG-004 Rev C is 31 steps; the figure is held until a unit has actually been through them.</t>
        </is>
      </c>
    </row>
    <row r="50">
      <c r="A50" s="15" t="n"/>
      <c r="B50" s="15" t="n"/>
      <c r="C50" s="15" t="n"/>
      <c r="D50" s="15" t="n"/>
      <c r="E50" s="15" t="n"/>
      <c r="F50" s="15" t="n"/>
      <c r="G50" s="15" t="n"/>
      <c r="H50" s="15" t="n"/>
      <c r="I50" s="15" t="n"/>
      <c r="J50" s="16" t="n"/>
      <c r="K50" s="16" t="n"/>
      <c r="L50" s="16" t="n"/>
      <c r="M50" s="16" t="n"/>
      <c r="N50" s="15" t="n"/>
      <c r="O50" s="15" t="n"/>
    </row>
    <row r="51">
      <c r="C51" t="inlineStr">
        <is>
          <t>Total per complete kit (materials + assembly + test)</t>
        </is>
      </c>
      <c r="J51">
        <f>SUM(J2:J49)</f>
        <v/>
      </c>
      <c r="K51">
        <f>SUM(K2:K49)</f>
        <v/>
      </c>
      <c r="L51">
        <f>SUM(L2:L49)</f>
        <v/>
      </c>
      <c r="M51">
        <f>SUM(M2:M49)</f>
        <v/>
      </c>
    </row>
    <row r="53">
      <c r="C53" s="4" t="inlineStr">
        <is>
          <t>Prices are indicative estimates for the manufacturer's quote to replace. Unit columns are per-unit prices at 2 / 10 / 25 / 50 kits; per-kit columns multiply by the quantity in this kit. Lines 25 and 26 are qty 0 per kit (HM-09 is one per site, FIT-01 one per build batch), so they cost nothing per kit and are priced here only so the figure exists when it is ordered.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0"/>
  <sheetViews>
    <sheetView workbookViewId="0">
      <pane ySplit="33" topLeftCell="A34"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7" t="inlineStr">
        <is>
          <t>Cost roll-up by subsystem and scenario</t>
        </is>
      </c>
    </row>
    <row r="2">
      <c r="A2" s="18" t="inlineStr">
        <is>
          <t>Every cell is a formula over the BOM sheet, rows 2 to 49. Change a price there and this sheet follows.</t>
        </is>
      </c>
    </row>
    <row r="4">
      <c r="A4" s="10" t="inlineStr">
        <is>
          <t>Subsystem</t>
        </is>
      </c>
      <c r="B4" s="10" t="inlineStr">
        <is>
          <t>Per kit @2</t>
        </is>
      </c>
      <c r="C4" s="10" t="inlineStr">
        <is>
          <t>Per kit @10</t>
        </is>
      </c>
      <c r="D4" s="10" t="inlineStr">
        <is>
          <t>Per kit @25</t>
        </is>
      </c>
      <c r="E4" s="10" t="inlineStr">
        <is>
          <t>Per kit @50</t>
        </is>
      </c>
    </row>
    <row r="5"/>
    <row r="6">
      <c r="A6" t="inlineStr">
        <is>
          <t>Modules</t>
        </is>
      </c>
      <c r="B6" s="19">
        <f>SUMIF(BOM!$B$2:$B$49,$A6,BOM!J$2:J$49)</f>
        <v/>
      </c>
      <c r="C6" s="19">
        <f>SUMIF(BOM!$B$2:$B$49,$A6,BOM!K$2:K$49)</f>
        <v/>
      </c>
      <c r="D6" s="19">
        <f>SUMIF(BOM!$B$2:$B$49,$A6,BOM!L$2:L$49)</f>
        <v/>
      </c>
      <c r="E6" s="19">
        <f>SUMIF(BOM!$B$2:$B$49,$A6,BOM!M$2:M$49)</f>
        <v/>
      </c>
    </row>
    <row r="7">
      <c r="A7" t="inlineStr">
        <is>
          <t>Carrier</t>
        </is>
      </c>
      <c r="B7" s="19">
        <f>SUMIF(BOM!$B$2:$B$49,$A7,BOM!J$2:J$49)</f>
        <v/>
      </c>
      <c r="C7" s="19">
        <f>SUMIF(BOM!$B$2:$B$49,$A7,BOM!K$2:K$49)</f>
        <v/>
      </c>
      <c r="D7" s="19">
        <f>SUMIF(BOM!$B$2:$B$49,$A7,BOM!L$2:L$49)</f>
        <v/>
      </c>
      <c r="E7" s="19">
        <f>SUMIF(BOM!$B$2:$B$49,$A7,BOM!M$2:M$49)</f>
        <v/>
      </c>
    </row>
    <row r="8">
      <c r="A8" t="inlineStr">
        <is>
          <t>Printed</t>
        </is>
      </c>
      <c r="B8" s="19">
        <f>SUMIF(BOM!$B$2:$B$49,$A8,BOM!J$2:J$49)</f>
        <v/>
      </c>
      <c r="C8" s="19">
        <f>SUMIF(BOM!$B$2:$B$49,$A8,BOM!K$2:K$49)</f>
        <v/>
      </c>
      <c r="D8" s="19">
        <f>SUMIF(BOM!$B$2:$B$49,$A8,BOM!L$2:L$49)</f>
        <v/>
      </c>
      <c r="E8" s="19">
        <f>SUMIF(BOM!$B$2:$B$49,$A8,BOM!M$2:M$49)</f>
        <v/>
      </c>
    </row>
    <row r="9">
      <c r="A9" t="inlineStr">
        <is>
          <t>Bought-in mechanical</t>
        </is>
      </c>
      <c r="B9" s="19">
        <f>SUMIF(BOM!$B$2:$B$49,$A9,BOM!J$2:J$49)</f>
        <v/>
      </c>
      <c r="C9" s="19">
        <f>SUMIF(BOM!$B$2:$B$49,$A9,BOM!K$2:K$49)</f>
        <v/>
      </c>
      <c r="D9" s="19">
        <f>SUMIF(BOM!$B$2:$B$49,$A9,BOM!L$2:L$49)</f>
        <v/>
      </c>
      <c r="E9" s="19">
        <f>SUMIF(BOM!$B$2:$B$49,$A9,BOM!M$2:M$49)</f>
        <v/>
      </c>
    </row>
    <row r="10">
      <c r="A10" t="inlineStr">
        <is>
          <t>Electrodes</t>
        </is>
      </c>
      <c r="B10" s="19">
        <f>SUMIF(BOM!$B$2:$B$49,$A10,BOM!J$2:J$49)</f>
        <v/>
      </c>
      <c r="C10" s="19">
        <f>SUMIF(BOM!$B$2:$B$49,$A10,BOM!K$2:K$49)</f>
        <v/>
      </c>
      <c r="D10" s="19">
        <f>SUMIF(BOM!$B$2:$B$49,$A10,BOM!L$2:L$49)</f>
        <v/>
      </c>
      <c r="E10" s="19">
        <f>SUMIF(BOM!$B$2:$B$49,$A10,BOM!M$2:M$49)</f>
        <v/>
      </c>
    </row>
    <row r="11">
      <c r="A11" t="inlineStr">
        <is>
          <t>Audio</t>
        </is>
      </c>
      <c r="B11" s="19">
        <f>SUMIF(BOM!$B$2:$B$49,$A11,BOM!J$2:J$49)</f>
        <v/>
      </c>
      <c r="C11" s="19">
        <f>SUMIF(BOM!$B$2:$B$49,$A11,BOM!K$2:K$49)</f>
        <v/>
      </c>
      <c r="D11" s="19">
        <f>SUMIF(BOM!$B$2:$B$49,$A11,BOM!L$2:L$49)</f>
        <v/>
      </c>
      <c r="E11" s="19">
        <f>SUMIF(BOM!$B$2:$B$49,$A11,BOM!M$2:M$49)</f>
        <v/>
      </c>
    </row>
    <row r="12">
      <c r="A12" t="inlineStr">
        <is>
          <t>Consumables</t>
        </is>
      </c>
      <c r="B12" s="19">
        <f>SUMIF(BOM!$B$2:$B$49,$A12,BOM!J$2:J$49)</f>
        <v/>
      </c>
      <c r="C12" s="19">
        <f>SUMIF(BOM!$B$2:$B$49,$A12,BOM!K$2:K$49)</f>
        <v/>
      </c>
      <c r="D12" s="19">
        <f>SUMIF(BOM!$B$2:$B$49,$A12,BOM!L$2:L$49)</f>
        <v/>
      </c>
      <c r="E12" s="19">
        <f>SUMIF(BOM!$B$2:$B$49,$A12,BOM!M$2:M$49)</f>
        <v/>
      </c>
    </row>
    <row r="13">
      <c r="A13" t="inlineStr">
        <is>
          <t>Cables</t>
        </is>
      </c>
      <c r="B13" s="19">
        <f>SUMIF(BOM!$B$2:$B$49,$A13,BOM!J$2:J$49)</f>
        <v/>
      </c>
      <c r="C13" s="19">
        <f>SUMIF(BOM!$B$2:$B$49,$A13,BOM!K$2:K$49)</f>
        <v/>
      </c>
      <c r="D13" s="19">
        <f>SUMIF(BOM!$B$2:$B$49,$A13,BOM!L$2:L$49)</f>
        <v/>
      </c>
      <c r="E13" s="19">
        <f>SUMIF(BOM!$B$2:$B$49,$A13,BOM!M$2:M$49)</f>
        <v/>
      </c>
    </row>
    <row r="14">
      <c r="A14" t="inlineStr">
        <is>
          <t>Case</t>
        </is>
      </c>
      <c r="B14" s="19">
        <f>SUMIF(BOM!$B$2:$B$49,$A14,BOM!J$2:J$49)</f>
        <v/>
      </c>
      <c r="C14" s="19">
        <f>SUMIF(BOM!$B$2:$B$49,$A14,BOM!K$2:K$49)</f>
        <v/>
      </c>
      <c r="D14" s="19">
        <f>SUMIF(BOM!$B$2:$B$49,$A14,BOM!L$2:L$49)</f>
        <v/>
      </c>
      <c r="E14" s="19">
        <f>SUMIF(BOM!$B$2:$B$49,$A14,BOM!M$2:M$49)</f>
        <v/>
      </c>
    </row>
    <row r="15">
      <c r="A15" t="inlineStr">
        <is>
          <t>Service</t>
        </is>
      </c>
      <c r="B15" s="19">
        <f>SUMIF(BOM!$B$2:$B$49,$A15,BOM!J$2:J$49)</f>
        <v/>
      </c>
      <c r="C15" s="19">
        <f>SUMIF(BOM!$B$2:$B$49,$A15,BOM!K$2:K$49)</f>
        <v/>
      </c>
      <c r="D15" s="19">
        <f>SUMIF(BOM!$B$2:$B$49,$A15,BOM!L$2:L$49)</f>
        <v/>
      </c>
      <c r="E15" s="19">
        <f>SUMIF(BOM!$B$2:$B$49,$A15,BOM!M$2:M$49)</f>
        <v/>
      </c>
    </row>
    <row r="16">
      <c r="A16" s="15" t="inlineStr">
        <is>
          <t>Total per kit</t>
        </is>
      </c>
      <c r="B16" s="16">
        <f>SUM(B6:B15)</f>
        <v/>
      </c>
      <c r="C16" s="16">
        <f>SUM(C6:C15)</f>
        <v/>
      </c>
      <c r="D16" s="16">
        <f>SUM(D6:D15)</f>
        <v/>
      </c>
      <c r="E16" s="16">
        <f>SUM(E6:E15)</f>
        <v/>
      </c>
    </row>
    <row r="17">
      <c r="A17" s="18" t="inlineStr">
        <is>
          <t>Electronics only (Modules + Carrier)</t>
        </is>
      </c>
      <c r="B17" s="19">
        <f>B6+B7</f>
        <v/>
      </c>
      <c r="C17" s="19">
        <f>C6+C7</f>
        <v/>
      </c>
      <c r="D17" s="19">
        <f>D6+D7</f>
        <v/>
      </c>
      <c r="E17" s="19">
        <f>E6+E7</f>
        <v/>
      </c>
    </row>
    <row r="18"/>
    <row r="19">
      <c r="A19" s="20" t="inlineStr">
        <is>
          <t>Programme build-up by scenario</t>
        </is>
      </c>
    </row>
    <row r="20">
      <c r="A20" s="10" t="inlineStr">
        <is>
          <t>Line</t>
        </is>
      </c>
      <c r="B20" s="10" t="inlineStr">
        <is>
          <t>@2</t>
        </is>
      </c>
      <c r="C20" s="10" t="inlineStr">
        <is>
          <t>@10</t>
        </is>
      </c>
      <c r="D20" s="10" t="inlineStr">
        <is>
          <t>@25</t>
        </is>
      </c>
      <c r="E20" s="10" t="inlineStr">
        <is>
          <t>@50</t>
        </is>
      </c>
    </row>
    <row r="21"/>
    <row r="22">
      <c r="A22" t="inlineStr">
        <is>
          <t>Kits built</t>
        </is>
      </c>
      <c r="B22" s="21" t="n">
        <v>2</v>
      </c>
      <c r="C22" s="21" t="n">
        <v>10</v>
      </c>
      <c r="D22" s="21" t="n">
        <v>25</v>
      </c>
      <c r="E22" s="21" t="n">
        <v>50</v>
      </c>
    </row>
    <row r="23">
      <c r="A23" t="inlineStr">
        <is>
          <t>Kit cost x quantity</t>
        </is>
      </c>
      <c r="B23" s="19">
        <f>B16*B22</f>
        <v/>
      </c>
      <c r="C23" s="19">
        <f>C16*C22</f>
        <v/>
      </c>
      <c r="D23" s="19">
        <f>D16*D22</f>
        <v/>
      </c>
      <c r="E23" s="19">
        <f>E16*E22</f>
        <v/>
      </c>
    </row>
    <row r="24">
      <c r="A24" t="inlineStr">
        <is>
          <t>Spare assembled carriers (25% of fleet, carrier lines only)</t>
        </is>
      </c>
      <c r="B24" s="19">
        <f>ROUND(B22*0.25,0)*SUMIF(BOM!$B$2:$B$49,"Carrier",BOM!J$2:J$49)</f>
        <v/>
      </c>
      <c r="C24" s="19">
        <f>ROUND(C22*0.25,0)*SUMIF(BOM!$B$2:$B$49,"Carrier",BOM!K$2:K$49)</f>
        <v/>
      </c>
      <c r="D24" s="19">
        <f>ROUND(D22*0.25,0)*SUMIF(BOM!$B$2:$B$49,"Carrier",BOM!L$2:L$49)</f>
        <v/>
      </c>
      <c r="E24" s="19">
        <f>ROUND(E22*0.25,0)*SUMIF(BOM!$B$2:$B$49,"Carrier",BOM!M$2:M$49)</f>
        <v/>
      </c>
    </row>
    <row r="25">
      <c r="A25" t="inlineStr">
        <is>
          <t>Layout review NRE</t>
        </is>
      </c>
      <c r="B25" s="21" t="n">
        <v>1500</v>
      </c>
      <c r="C25" s="21" t="n">
        <v>1500</v>
      </c>
      <c r="D25" s="21" t="n">
        <v>1500</v>
      </c>
      <c r="E25" s="21" t="n">
        <v>1500</v>
      </c>
    </row>
    <row r="26">
      <c r="A26" t="inlineStr">
        <is>
          <t>Foam insert tooling</t>
        </is>
      </c>
      <c r="B26" s="21" t="n">
        <v>250</v>
      </c>
      <c r="C26" s="21" t="n">
        <v>250</v>
      </c>
      <c r="D26" s="21" t="n">
        <v>250</v>
      </c>
      <c r="E26" s="21" t="n">
        <v>250</v>
      </c>
    </row>
    <row r="27">
      <c r="A27" t="inlineStr">
        <is>
          <t>Stencil, fixtures and test jig</t>
        </is>
      </c>
      <c r="B27" s="21" t="n">
        <v>400</v>
      </c>
      <c r="C27" s="21" t="n">
        <v>400</v>
      </c>
      <c r="D27" s="21" t="n">
        <v>400</v>
      </c>
      <c r="E27" s="21" t="n">
        <v>400</v>
      </c>
    </row>
    <row r="28">
      <c r="A28" s="15" t="inlineStr">
        <is>
          <t>Programme total</t>
        </is>
      </c>
      <c r="B28" s="16">
        <f>B23+B24+B25+B26+B27</f>
        <v/>
      </c>
      <c r="C28" s="16">
        <f>C23+C24+C25+C26+C27</f>
        <v/>
      </c>
      <c r="D28" s="16">
        <f>D23+D24+D25+D26+D27</f>
        <v/>
      </c>
      <c r="E28" s="16">
        <f>E23+E24+E25+E26+E27</f>
        <v/>
      </c>
    </row>
    <row r="30">
      <c r="A30" s="18" t="inlineStr">
        <is>
          <t>The one-off lines are placeholders from the Assumptions sheet, not quotes. The spare-carrier line prices spare BOARDS, not spare kits: a spare kit would need electrodes, a case and a helmet as well.</t>
        </is>
      </c>
    </row>
    <row r="32">
      <c r="A32" s="20" t="inlineStr">
        <is>
          <t>What package v1 estimated, for comparison</t>
        </is>
      </c>
    </row>
    <row r="33">
      <c r="A33" s="10" t="inlineStr">
        <is>
          <t>Line</t>
        </is>
      </c>
      <c r="B33" s="10" t="inlineStr">
        <is>
          <t>@2</t>
        </is>
      </c>
      <c r="C33" s="10" t="inlineStr">
        <is>
          <t>@10</t>
        </is>
      </c>
      <c r="D33" s="10" t="inlineStr">
        <is>
          <t>@25</t>
        </is>
      </c>
      <c r="E33" s="10" t="inlineStr">
        <is>
          <t>@50</t>
        </is>
      </c>
    </row>
    <row r="34"/>
    <row r="35">
      <c r="A35" t="inlineStr">
        <is>
          <t>v1 per-kit total (EEG_kit_BOM_INTERNAL_costed.xlsx)</t>
        </is>
      </c>
      <c r="B35" s="19" t="n">
        <v>740.13</v>
      </c>
      <c r="C35" s="19" t="n">
        <v>598.6</v>
      </c>
      <c r="D35" s="19" t="n">
        <v>523.3200000000001</v>
      </c>
      <c r="E35" s="19" t="n">
        <v>474.95</v>
      </c>
    </row>
    <row r="36">
      <c r="A36" t="inlineStr">
        <is>
          <t>v2 per-kit total, this sheet</t>
        </is>
      </c>
      <c r="B36" s="19">
        <f>B16</f>
        <v/>
      </c>
      <c r="C36" s="19">
        <f>C16</f>
        <v/>
      </c>
      <c r="D36" s="19">
        <f>D16</f>
        <v/>
      </c>
      <c r="E36" s="19">
        <f>E16</f>
        <v/>
      </c>
    </row>
    <row r="37">
      <c r="A37" t="inlineStr">
        <is>
          <t>Increase</t>
        </is>
      </c>
      <c r="B37" s="19">
        <f>B36-B35</f>
        <v/>
      </c>
      <c r="C37" s="19">
        <f>C36-C35</f>
        <v/>
      </c>
      <c r="D37" s="19">
        <f>D36-D35</f>
        <v/>
      </c>
      <c r="E37" s="19">
        <f>E36-E35</f>
        <v/>
      </c>
    </row>
    <row r="38">
      <c r="A38" t="inlineStr">
        <is>
          <t>Increase, per cent</t>
        </is>
      </c>
      <c r="B38" s="22">
        <f>ROUND((B36/B35-1)*100,0)</f>
        <v/>
      </c>
      <c r="C38" s="22">
        <f>ROUND((C36/C35-1)*100,0)</f>
        <v/>
      </c>
      <c r="D38" s="22">
        <f>ROUND((D36/D35-1)*100,0)</f>
        <v/>
      </c>
      <c r="E38" s="22">
        <f>ROUND((E36/E35-1)*100,0)</f>
        <v/>
      </c>
    </row>
    <row r="40">
      <c r="A40" s="4" t="inlineStr">
        <is>
          <t>A v2 kit costs materially more than package v1 estimated, and the reason is the architecture rather than inflation. v2 buys MODULES where v1 bought bare silicon (DSN-EEG-003 section 2): no fine-pitch rework, no ADS1299 lead time, no BGA, but a module carries its own PCB, regulators and headers and costs several times the chip inside it. The carrier also went to four layers at 150.0 x 130.0 mm, the case and its foam insert went up several sizes PAST M-05 to hold the assembled helmet (PKG-EEG-015 section 3.2, CN-PKG-03), and MP-01, HM-02, the TPS63020 buck-boost, the 74HC595 driver and the second harness WH-02 are all new lines that v1 did not carry -- three of them because v1 had defects that made the kit unbuildable. Some lines went DOWN: ten electrode cups instead of twelve, and three DIN sockets instead of fifteen.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2026-09-10T15:59:34Z</dcterms:created>
  <dcterms:modified xsi:type="dcterms:W3CDTF">2026-09-10T15:59:34Z</dcterms:modified>
</cp:coreProperties>
</file>